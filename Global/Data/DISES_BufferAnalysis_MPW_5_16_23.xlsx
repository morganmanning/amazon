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522\Desktop\Shapefiles\RA Work\"/>
    </mc:Choice>
  </mc:AlternateContent>
  <xr:revisionPtr revIDLastSave="0" documentId="8_{DF6DDEEB-EBC5-443C-8064-BF9C00F45270}" xr6:coauthVersionLast="47" xr6:coauthVersionMax="47" xr10:uidLastSave="{00000000-0000-0000-0000-000000000000}"/>
  <bookViews>
    <workbookView xWindow="-120" yWindow="-120" windowWidth="29040" windowHeight="15720" firstSheet="8" activeTab="8" xr2:uid="{2C880CBE-C4A7-4D1F-9C9B-3FC174A700D7}"/>
  </bookViews>
  <sheets>
    <sheet name="Avie" sheetId="1" r:id="rId1"/>
    <sheet name="Duvuno" sheetId="11" r:id="rId2"/>
    <sheet name="Dureno" sheetId="2" r:id="rId3"/>
    <sheet name="Bermejo" sheetId="3" r:id="rId4"/>
    <sheet name="Sinangoe" sheetId="4" r:id="rId5"/>
    <sheet name="Remolino" sheetId="6" r:id="rId6"/>
    <sheet name="Zabalo" sheetId="7" r:id="rId7"/>
    <sheet name="Siona" sheetId="9" r:id="rId8"/>
    <sheet name="Siekopai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1" l="1"/>
  <c r="L18" i="11"/>
  <c r="M18" i="11"/>
  <c r="N18" i="11"/>
  <c r="O18" i="11"/>
  <c r="P18" i="11"/>
  <c r="Q18" i="11"/>
  <c r="R18" i="11"/>
  <c r="K17" i="11"/>
  <c r="L17" i="11"/>
  <c r="M17" i="11"/>
  <c r="N17" i="11"/>
  <c r="O17" i="11"/>
  <c r="P17" i="11"/>
  <c r="Q17" i="11"/>
  <c r="R17" i="11"/>
  <c r="K16" i="11"/>
  <c r="L16" i="11"/>
  <c r="M16" i="11"/>
  <c r="N16" i="11"/>
  <c r="O16" i="11"/>
  <c r="P16" i="11"/>
  <c r="Q16" i="11"/>
  <c r="R16" i="11"/>
  <c r="K15" i="11"/>
  <c r="L15" i="11"/>
  <c r="M15" i="11"/>
  <c r="N15" i="11"/>
  <c r="O15" i="11"/>
  <c r="P15" i="11"/>
  <c r="Q15" i="11"/>
  <c r="R15" i="11"/>
  <c r="K14" i="11"/>
  <c r="L14" i="11"/>
  <c r="M14" i="11"/>
  <c r="N14" i="11"/>
  <c r="O14" i="11"/>
  <c r="P14" i="11"/>
  <c r="Q14" i="11"/>
  <c r="R14" i="11"/>
  <c r="C18" i="11"/>
  <c r="D18" i="11"/>
  <c r="E18" i="11"/>
  <c r="F18" i="11"/>
  <c r="G18" i="11"/>
  <c r="H18" i="11"/>
  <c r="I18" i="11"/>
  <c r="B18" i="11"/>
  <c r="C17" i="11"/>
  <c r="D17" i="11"/>
  <c r="E17" i="11"/>
  <c r="F17" i="11"/>
  <c r="G17" i="11"/>
  <c r="H17" i="11"/>
  <c r="I17" i="11"/>
  <c r="B17" i="11"/>
  <c r="C16" i="11"/>
  <c r="D16" i="11"/>
  <c r="E16" i="11"/>
  <c r="F16" i="11"/>
  <c r="G16" i="11"/>
  <c r="H16" i="11"/>
  <c r="I16" i="11"/>
  <c r="C15" i="11"/>
  <c r="D15" i="11"/>
  <c r="E15" i="11"/>
  <c r="F15" i="11"/>
  <c r="G15" i="11"/>
  <c r="H15" i="11"/>
  <c r="I15" i="11"/>
  <c r="B16" i="11"/>
  <c r="B15" i="11"/>
  <c r="C14" i="11"/>
  <c r="D14" i="11"/>
  <c r="E14" i="11"/>
  <c r="F14" i="11"/>
  <c r="G14" i="11"/>
  <c r="H14" i="11"/>
  <c r="I14" i="11"/>
  <c r="B14" i="11"/>
  <c r="K18" i="1"/>
  <c r="L18" i="1"/>
  <c r="M18" i="1"/>
  <c r="N18" i="1"/>
  <c r="O18" i="1"/>
  <c r="P18" i="1"/>
  <c r="Q18" i="1"/>
  <c r="R18" i="1"/>
  <c r="K17" i="1"/>
  <c r="L17" i="1"/>
  <c r="M17" i="1"/>
  <c r="N17" i="1"/>
  <c r="O17" i="1"/>
  <c r="P17" i="1"/>
  <c r="Q17" i="1"/>
  <c r="R17" i="1"/>
  <c r="K16" i="1"/>
  <c r="L16" i="1"/>
  <c r="M16" i="1"/>
  <c r="N16" i="1"/>
  <c r="O16" i="1"/>
  <c r="P16" i="1"/>
  <c r="Q16" i="1"/>
  <c r="R16" i="1"/>
  <c r="K15" i="1"/>
  <c r="L15" i="1"/>
  <c r="M15" i="1"/>
  <c r="N15" i="1"/>
  <c r="O15" i="1"/>
  <c r="P15" i="1"/>
  <c r="Q15" i="1"/>
  <c r="R15" i="1"/>
  <c r="K14" i="1"/>
  <c r="L14" i="1"/>
  <c r="M14" i="1"/>
  <c r="N14" i="1"/>
  <c r="O14" i="1"/>
  <c r="P14" i="1"/>
  <c r="Q14" i="1"/>
  <c r="R14" i="1"/>
  <c r="K18" i="2"/>
  <c r="L18" i="2"/>
  <c r="M18" i="2"/>
  <c r="N18" i="2"/>
  <c r="O18" i="2"/>
  <c r="P18" i="2"/>
  <c r="Q18" i="2"/>
  <c r="R18" i="2"/>
  <c r="K17" i="2"/>
  <c r="L17" i="2"/>
  <c r="M17" i="2"/>
  <c r="N17" i="2"/>
  <c r="O17" i="2"/>
  <c r="P17" i="2"/>
  <c r="Q17" i="2"/>
  <c r="R17" i="2"/>
  <c r="K16" i="2"/>
  <c r="L16" i="2"/>
  <c r="M16" i="2"/>
  <c r="N16" i="2"/>
  <c r="O16" i="2"/>
  <c r="P16" i="2"/>
  <c r="Q16" i="2"/>
  <c r="R16" i="2"/>
  <c r="K15" i="2"/>
  <c r="L15" i="2"/>
  <c r="M15" i="2"/>
  <c r="N15" i="2"/>
  <c r="O15" i="2"/>
  <c r="P15" i="2"/>
  <c r="Q15" i="2"/>
  <c r="R15" i="2"/>
  <c r="K14" i="2"/>
  <c r="L14" i="2"/>
  <c r="M14" i="2"/>
  <c r="N14" i="2"/>
  <c r="O14" i="2"/>
  <c r="P14" i="2"/>
  <c r="Q14" i="2"/>
  <c r="R14" i="2"/>
  <c r="K19" i="4"/>
  <c r="L19" i="4"/>
  <c r="M19" i="4"/>
  <c r="N19" i="4"/>
  <c r="O19" i="4"/>
  <c r="P19" i="4"/>
  <c r="Q19" i="4"/>
  <c r="R19" i="4"/>
  <c r="K18" i="4"/>
  <c r="L18" i="4"/>
  <c r="M18" i="4"/>
  <c r="N18" i="4"/>
  <c r="O18" i="4"/>
  <c r="P18" i="4"/>
  <c r="Q18" i="4"/>
  <c r="R18" i="4"/>
  <c r="K17" i="4"/>
  <c r="L17" i="4"/>
  <c r="M17" i="4"/>
  <c r="N17" i="4"/>
  <c r="O17" i="4"/>
  <c r="P17" i="4"/>
  <c r="Q17" i="4"/>
  <c r="R17" i="4"/>
  <c r="K16" i="4"/>
  <c r="L16" i="4"/>
  <c r="M16" i="4"/>
  <c r="N16" i="4"/>
  <c r="O16" i="4"/>
  <c r="P16" i="4"/>
  <c r="Q16" i="4"/>
  <c r="R16" i="4"/>
  <c r="K15" i="4"/>
  <c r="L15" i="4"/>
  <c r="M15" i="4"/>
  <c r="N15" i="4"/>
  <c r="O15" i="4"/>
  <c r="P15" i="4"/>
  <c r="Q15" i="4"/>
  <c r="R15" i="4"/>
  <c r="K19" i="3"/>
  <c r="L19" i="3"/>
  <c r="M19" i="3"/>
  <c r="N19" i="3"/>
  <c r="O19" i="3"/>
  <c r="P19" i="3"/>
  <c r="Q19" i="3"/>
  <c r="R19" i="3"/>
  <c r="K18" i="3"/>
  <c r="L18" i="3"/>
  <c r="M18" i="3"/>
  <c r="N18" i="3"/>
  <c r="O18" i="3"/>
  <c r="P18" i="3"/>
  <c r="Q18" i="3"/>
  <c r="R18" i="3"/>
  <c r="K17" i="3"/>
  <c r="L17" i="3"/>
  <c r="M17" i="3"/>
  <c r="N17" i="3"/>
  <c r="O17" i="3"/>
  <c r="P17" i="3"/>
  <c r="Q17" i="3"/>
  <c r="R17" i="3"/>
  <c r="K16" i="3"/>
  <c r="L16" i="3"/>
  <c r="M16" i="3"/>
  <c r="N16" i="3"/>
  <c r="O16" i="3"/>
  <c r="P16" i="3"/>
  <c r="Q16" i="3"/>
  <c r="R16" i="3"/>
  <c r="K15" i="3"/>
  <c r="L15" i="3"/>
  <c r="M15" i="3"/>
  <c r="N15" i="3"/>
  <c r="O15" i="3"/>
  <c r="P15" i="3"/>
  <c r="Q15" i="3"/>
  <c r="R15" i="3"/>
  <c r="C16" i="4"/>
  <c r="D16" i="4"/>
  <c r="E16" i="4"/>
  <c r="F16" i="4"/>
  <c r="G16" i="4"/>
  <c r="H16" i="4"/>
  <c r="I16" i="4"/>
  <c r="C15" i="4"/>
  <c r="D15" i="4"/>
  <c r="E15" i="4"/>
  <c r="F15" i="4"/>
  <c r="G15" i="4"/>
  <c r="H15" i="4"/>
  <c r="I15" i="4"/>
  <c r="C17" i="4"/>
  <c r="D17" i="4"/>
  <c r="E17" i="4"/>
  <c r="F17" i="4"/>
  <c r="G17" i="4"/>
  <c r="H17" i="4"/>
  <c r="I17" i="4"/>
  <c r="B17" i="4"/>
  <c r="B16" i="4"/>
  <c r="B15" i="4"/>
  <c r="C18" i="4"/>
  <c r="D18" i="4"/>
  <c r="E18" i="4"/>
  <c r="F18" i="4"/>
  <c r="G18" i="4"/>
  <c r="H18" i="4"/>
  <c r="I18" i="4"/>
  <c r="K19" i="6"/>
  <c r="L19" i="6"/>
  <c r="M19" i="6"/>
  <c r="N19" i="6"/>
  <c r="O19" i="6"/>
  <c r="P19" i="6"/>
  <c r="Q19" i="6"/>
  <c r="R19" i="6"/>
  <c r="K18" i="6"/>
  <c r="L18" i="6"/>
  <c r="M18" i="6"/>
  <c r="N18" i="6"/>
  <c r="O18" i="6"/>
  <c r="P18" i="6"/>
  <c r="Q18" i="6"/>
  <c r="R18" i="6"/>
  <c r="K17" i="6"/>
  <c r="L17" i="6"/>
  <c r="M17" i="6"/>
  <c r="N17" i="6"/>
  <c r="O17" i="6"/>
  <c r="P17" i="6"/>
  <c r="Q17" i="6"/>
  <c r="R17" i="6"/>
  <c r="K16" i="6"/>
  <c r="L16" i="6"/>
  <c r="M16" i="6"/>
  <c r="N16" i="6"/>
  <c r="O16" i="6"/>
  <c r="P16" i="6"/>
  <c r="Q16" i="6"/>
  <c r="R16" i="6"/>
  <c r="K15" i="6"/>
  <c r="L15" i="6"/>
  <c r="M15" i="6"/>
  <c r="N15" i="6"/>
  <c r="O15" i="6"/>
  <c r="P15" i="6"/>
  <c r="Q15" i="6"/>
  <c r="R15" i="6"/>
  <c r="I15" i="6"/>
  <c r="K19" i="7"/>
  <c r="L19" i="7"/>
  <c r="M19" i="7"/>
  <c r="N19" i="7"/>
  <c r="O19" i="7"/>
  <c r="P19" i="7"/>
  <c r="Q19" i="7"/>
  <c r="R19" i="7"/>
  <c r="K18" i="7"/>
  <c r="L18" i="7"/>
  <c r="M18" i="7"/>
  <c r="N18" i="7"/>
  <c r="O18" i="7"/>
  <c r="P18" i="7"/>
  <c r="Q18" i="7"/>
  <c r="R18" i="7"/>
  <c r="K17" i="7"/>
  <c r="L17" i="7"/>
  <c r="M17" i="7"/>
  <c r="N17" i="7"/>
  <c r="O17" i="7"/>
  <c r="P17" i="7"/>
  <c r="Q17" i="7"/>
  <c r="R17" i="7"/>
  <c r="K16" i="7"/>
  <c r="L16" i="7"/>
  <c r="M16" i="7"/>
  <c r="N16" i="7"/>
  <c r="O16" i="7"/>
  <c r="P16" i="7"/>
  <c r="Q16" i="7"/>
  <c r="R16" i="7"/>
  <c r="K15" i="7"/>
  <c r="L15" i="7"/>
  <c r="M15" i="7"/>
  <c r="N15" i="7"/>
  <c r="O15" i="7"/>
  <c r="P15" i="7"/>
  <c r="Q15" i="7"/>
  <c r="R15" i="7"/>
  <c r="B15" i="7"/>
  <c r="D17" i="9"/>
  <c r="D19" i="9" s="1"/>
  <c r="E17" i="9"/>
  <c r="F17" i="9"/>
  <c r="F19" i="9" s="1"/>
  <c r="G17" i="9"/>
  <c r="G19" i="9" s="1"/>
  <c r="H17" i="9"/>
  <c r="H19" i="9" s="1"/>
  <c r="I17" i="9"/>
  <c r="J17" i="9"/>
  <c r="L17" i="9"/>
  <c r="M17" i="9"/>
  <c r="N17" i="9"/>
  <c r="N19" i="9" s="1"/>
  <c r="O17" i="9"/>
  <c r="O19" i="9" s="1"/>
  <c r="P17" i="9"/>
  <c r="P19" i="9" s="1"/>
  <c r="Q17" i="9"/>
  <c r="Q19" i="9" s="1"/>
  <c r="R17" i="9"/>
  <c r="R19" i="9" s="1"/>
  <c r="S17" i="9"/>
  <c r="S19" i="9" s="1"/>
  <c r="D16" i="9"/>
  <c r="D18" i="9" s="1"/>
  <c r="E16" i="9"/>
  <c r="E18" i="9" s="1"/>
  <c r="F16" i="9"/>
  <c r="G16" i="9"/>
  <c r="H16" i="9"/>
  <c r="I16" i="9"/>
  <c r="J16" i="9"/>
  <c r="L16" i="9"/>
  <c r="M16" i="9"/>
  <c r="N16" i="9"/>
  <c r="N18" i="9" s="1"/>
  <c r="O16" i="9"/>
  <c r="O18" i="9" s="1"/>
  <c r="P16" i="9"/>
  <c r="P18" i="9" s="1"/>
  <c r="Q16" i="9"/>
  <c r="Q18" i="9" s="1"/>
  <c r="R16" i="9"/>
  <c r="R18" i="9" s="1"/>
  <c r="S16" i="9"/>
  <c r="C17" i="9"/>
  <c r="C16" i="9"/>
  <c r="D15" i="9"/>
  <c r="E15" i="9"/>
  <c r="F15" i="9"/>
  <c r="G15" i="9"/>
  <c r="H15" i="9"/>
  <c r="I15" i="9"/>
  <c r="J15" i="9"/>
  <c r="J18" i="9" s="1"/>
  <c r="L15" i="9"/>
  <c r="L18" i="9" s="1"/>
  <c r="M15" i="9"/>
  <c r="N15" i="9"/>
  <c r="O15" i="9"/>
  <c r="P15" i="9"/>
  <c r="Q15" i="9"/>
  <c r="R15" i="9"/>
  <c r="S15" i="9"/>
  <c r="C15" i="9"/>
  <c r="K17" i="10"/>
  <c r="L17" i="10"/>
  <c r="M17" i="10"/>
  <c r="N17" i="10"/>
  <c r="O17" i="10"/>
  <c r="P17" i="10"/>
  <c r="P19" i="10" s="1"/>
  <c r="Q17" i="10"/>
  <c r="Q19" i="10" s="1"/>
  <c r="R17" i="10"/>
  <c r="R19" i="10" s="1"/>
  <c r="K16" i="10"/>
  <c r="L16" i="10"/>
  <c r="M16" i="10"/>
  <c r="N16" i="10"/>
  <c r="O16" i="10"/>
  <c r="P16" i="10"/>
  <c r="P18" i="10" s="1"/>
  <c r="Q16" i="10"/>
  <c r="Q18" i="10" s="1"/>
  <c r="R16" i="10"/>
  <c r="R18" i="10" s="1"/>
  <c r="K19" i="10"/>
  <c r="L19" i="10"/>
  <c r="M19" i="10"/>
  <c r="N19" i="10"/>
  <c r="O19" i="10"/>
  <c r="K18" i="10"/>
  <c r="L18" i="10"/>
  <c r="M18" i="10"/>
  <c r="N18" i="10"/>
  <c r="O18" i="10"/>
  <c r="C19" i="10"/>
  <c r="D19" i="10"/>
  <c r="E19" i="10"/>
  <c r="F19" i="10"/>
  <c r="G19" i="10"/>
  <c r="H19" i="10"/>
  <c r="I19" i="10"/>
  <c r="B19" i="10"/>
  <c r="C18" i="10"/>
  <c r="D18" i="10"/>
  <c r="E18" i="10"/>
  <c r="F18" i="10"/>
  <c r="G18" i="10"/>
  <c r="H18" i="10"/>
  <c r="I18" i="10"/>
  <c r="B18" i="10"/>
  <c r="C17" i="10"/>
  <c r="D17" i="10"/>
  <c r="E17" i="10"/>
  <c r="F17" i="10"/>
  <c r="G17" i="10"/>
  <c r="H17" i="10"/>
  <c r="I17" i="10"/>
  <c r="C16" i="10"/>
  <c r="D16" i="10"/>
  <c r="E16" i="10"/>
  <c r="F16" i="10"/>
  <c r="G16" i="10"/>
  <c r="H16" i="10"/>
  <c r="I16" i="10"/>
  <c r="B17" i="10"/>
  <c r="B16" i="10"/>
  <c r="C15" i="10"/>
  <c r="D15" i="10"/>
  <c r="E15" i="10"/>
  <c r="F15" i="10"/>
  <c r="G15" i="10"/>
  <c r="H15" i="10"/>
  <c r="I15" i="10"/>
  <c r="K15" i="10"/>
  <c r="L15" i="10"/>
  <c r="M15" i="10"/>
  <c r="N15" i="10"/>
  <c r="O15" i="10"/>
  <c r="P15" i="10"/>
  <c r="Q15" i="10"/>
  <c r="R15" i="10"/>
  <c r="B15" i="10"/>
  <c r="B16" i="7"/>
  <c r="I17" i="7"/>
  <c r="H17" i="7"/>
  <c r="G17" i="7"/>
  <c r="F17" i="7"/>
  <c r="E17" i="7"/>
  <c r="E19" i="7" s="1"/>
  <c r="D17" i="7"/>
  <c r="D19" i="7" s="1"/>
  <c r="C17" i="7"/>
  <c r="C19" i="7" s="1"/>
  <c r="B17" i="7"/>
  <c r="B19" i="7" s="1"/>
  <c r="I16" i="7"/>
  <c r="H16" i="7"/>
  <c r="G16" i="7"/>
  <c r="F16" i="7"/>
  <c r="E16" i="7"/>
  <c r="D16" i="7"/>
  <c r="D18" i="7" s="1"/>
  <c r="C16" i="7"/>
  <c r="C18" i="7" s="1"/>
  <c r="B18" i="7"/>
  <c r="I15" i="7"/>
  <c r="I18" i="7" s="1"/>
  <c r="H15" i="7"/>
  <c r="H18" i="7" s="1"/>
  <c r="G15" i="7"/>
  <c r="F15" i="7"/>
  <c r="E15" i="7"/>
  <c r="D15" i="7"/>
  <c r="C15" i="7"/>
  <c r="B18" i="4"/>
  <c r="I17" i="6"/>
  <c r="I19" i="6" s="1"/>
  <c r="H17" i="6"/>
  <c r="H19" i="6" s="1"/>
  <c r="G17" i="6"/>
  <c r="F17" i="6"/>
  <c r="E17" i="6"/>
  <c r="D17" i="6"/>
  <c r="C17" i="6"/>
  <c r="B17" i="6"/>
  <c r="I16" i="6"/>
  <c r="H16" i="6"/>
  <c r="G16" i="6"/>
  <c r="F16" i="6"/>
  <c r="E16" i="6"/>
  <c r="D16" i="6"/>
  <c r="D18" i="6" s="1"/>
  <c r="C16" i="6"/>
  <c r="B16" i="6"/>
  <c r="H15" i="6"/>
  <c r="G15" i="6"/>
  <c r="F15" i="6"/>
  <c r="E15" i="6"/>
  <c r="D15" i="6"/>
  <c r="C15" i="6"/>
  <c r="B15" i="6"/>
  <c r="C17" i="3"/>
  <c r="D17" i="3"/>
  <c r="E17" i="3"/>
  <c r="F17" i="3"/>
  <c r="G17" i="3"/>
  <c r="H17" i="3"/>
  <c r="I17" i="3"/>
  <c r="C16" i="3"/>
  <c r="D16" i="3"/>
  <c r="E16" i="3"/>
  <c r="F16" i="3"/>
  <c r="G16" i="3"/>
  <c r="H16" i="3"/>
  <c r="I16" i="3"/>
  <c r="B17" i="3"/>
  <c r="B16" i="3"/>
  <c r="C15" i="3"/>
  <c r="D15" i="3"/>
  <c r="E15" i="3"/>
  <c r="F15" i="3"/>
  <c r="G15" i="3"/>
  <c r="H15" i="3"/>
  <c r="I15" i="3"/>
  <c r="B15" i="3"/>
  <c r="C18" i="2"/>
  <c r="C16" i="2"/>
  <c r="D16" i="2"/>
  <c r="E16" i="2"/>
  <c r="F16" i="2"/>
  <c r="G16" i="2"/>
  <c r="H16" i="2"/>
  <c r="I16" i="2"/>
  <c r="C15" i="2"/>
  <c r="D15" i="2"/>
  <c r="E15" i="2"/>
  <c r="E17" i="2" s="1"/>
  <c r="F15" i="2"/>
  <c r="G15" i="2"/>
  <c r="H15" i="2"/>
  <c r="I15" i="2"/>
  <c r="B16" i="2"/>
  <c r="B15" i="2"/>
  <c r="C14" i="2"/>
  <c r="D14" i="2"/>
  <c r="E14" i="2"/>
  <c r="F14" i="2"/>
  <c r="G14" i="2"/>
  <c r="H14" i="2"/>
  <c r="I14" i="2"/>
  <c r="B14" i="2"/>
  <c r="C14" i="1"/>
  <c r="D14" i="1"/>
  <c r="E14" i="1"/>
  <c r="F14" i="1"/>
  <c r="G14" i="1"/>
  <c r="H14" i="1"/>
  <c r="I14" i="1"/>
  <c r="B14" i="1"/>
  <c r="C16" i="1"/>
  <c r="D16" i="1"/>
  <c r="E16" i="1"/>
  <c r="F16" i="1"/>
  <c r="G16" i="1"/>
  <c r="G18" i="1" s="1"/>
  <c r="H16" i="1"/>
  <c r="H18" i="1" s="1"/>
  <c r="I16" i="1"/>
  <c r="B16" i="1"/>
  <c r="C15" i="1"/>
  <c r="D15" i="1"/>
  <c r="E15" i="1"/>
  <c r="F15" i="1"/>
  <c r="G15" i="1"/>
  <c r="H15" i="1"/>
  <c r="I15" i="1"/>
  <c r="B15" i="1"/>
  <c r="I17" i="1" l="1"/>
  <c r="I18" i="1"/>
  <c r="H17" i="1"/>
  <c r="G17" i="1"/>
  <c r="F17" i="1"/>
  <c r="F18" i="1"/>
  <c r="E18" i="1"/>
  <c r="E17" i="1"/>
  <c r="D18" i="1"/>
  <c r="D17" i="1"/>
  <c r="C17" i="1"/>
  <c r="C18" i="1"/>
  <c r="B17" i="1"/>
  <c r="B18" i="1"/>
  <c r="I17" i="2"/>
  <c r="G17" i="2"/>
  <c r="G18" i="2"/>
  <c r="F17" i="2"/>
  <c r="D17" i="2"/>
  <c r="B17" i="2"/>
  <c r="B18" i="2"/>
  <c r="C17" i="2"/>
  <c r="I18" i="2"/>
  <c r="H18" i="2"/>
  <c r="F18" i="2"/>
  <c r="E18" i="2"/>
  <c r="D18" i="2"/>
  <c r="H17" i="2"/>
  <c r="G19" i="3"/>
  <c r="C18" i="3"/>
  <c r="F19" i="3"/>
  <c r="D18" i="3"/>
  <c r="I18" i="3"/>
  <c r="I19" i="3"/>
  <c r="H18" i="3"/>
  <c r="H19" i="3"/>
  <c r="G18" i="3"/>
  <c r="F18" i="3"/>
  <c r="E18" i="3"/>
  <c r="E19" i="3"/>
  <c r="D19" i="3"/>
  <c r="C19" i="3"/>
  <c r="B18" i="3"/>
  <c r="B19" i="3"/>
  <c r="I19" i="4"/>
  <c r="B19" i="4"/>
  <c r="C19" i="4"/>
  <c r="D19" i="4"/>
  <c r="G19" i="4"/>
  <c r="H19" i="4"/>
  <c r="F19" i="4"/>
  <c r="E19" i="4"/>
  <c r="C18" i="6"/>
  <c r="H18" i="6"/>
  <c r="G19" i="6"/>
  <c r="G18" i="6"/>
  <c r="D19" i="6"/>
  <c r="F18" i="6"/>
  <c r="B19" i="6"/>
  <c r="C19" i="6"/>
  <c r="B18" i="6"/>
  <c r="E18" i="6"/>
  <c r="I18" i="6"/>
  <c r="E19" i="6"/>
  <c r="F19" i="6"/>
  <c r="F19" i="7"/>
  <c r="F18" i="7"/>
  <c r="E18" i="7"/>
  <c r="G19" i="7"/>
  <c r="H19" i="7"/>
  <c r="I19" i="7"/>
  <c r="G18" i="7"/>
  <c r="E19" i="9"/>
  <c r="M18" i="9"/>
  <c r="I18" i="9"/>
  <c r="M19" i="9"/>
  <c r="C18" i="9"/>
  <c r="H18" i="9"/>
  <c r="L19" i="9"/>
  <c r="C19" i="9"/>
  <c r="G18" i="9"/>
  <c r="J19" i="9"/>
  <c r="S18" i="9"/>
  <c r="F18" i="9"/>
  <c r="I19" i="9"/>
</calcChain>
</file>

<file path=xl/sharedStrings.xml><?xml version="1.0" encoding="utf-8"?>
<sst xmlns="http://schemas.openxmlformats.org/spreadsheetml/2006/main" count="169" uniqueCount="22">
  <si>
    <t>Outside</t>
  </si>
  <si>
    <t>Inside</t>
  </si>
  <si>
    <t>Forest Formation</t>
  </si>
  <si>
    <t>Flooded Forest</t>
  </si>
  <si>
    <t>Wetland</t>
  </si>
  <si>
    <t>Grassland</t>
  </si>
  <si>
    <t>Other Non-Forest Natural Area</t>
  </si>
  <si>
    <t>Farming</t>
  </si>
  <si>
    <t>urban Infrastructure</t>
  </si>
  <si>
    <t>Other Non-Vegetated Area</t>
  </si>
  <si>
    <t>Non Observed</t>
  </si>
  <si>
    <t>Water</t>
  </si>
  <si>
    <t>Mining</t>
  </si>
  <si>
    <t>Total</t>
  </si>
  <si>
    <t>(Combined) Natural Area</t>
  </si>
  <si>
    <t>(Combined) Non-Natural Areas</t>
  </si>
  <si>
    <t>% Natural Area</t>
  </si>
  <si>
    <t>% Non-Natural Area</t>
  </si>
  <si>
    <t>% Anthorpogenic Area</t>
  </si>
  <si>
    <t>(Combined) Non-Natural Area</t>
  </si>
  <si>
    <t>Glacier</t>
  </si>
  <si>
    <t>Siekopai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</si>
</sst>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Avie</a:t>
            </a:r>
            <a:r>
              <a:rPr lang="en-US" baseline="0"/>
              <a:t> Buffer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Avie!$B$2:$I$2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Avie!$B$17:$I$17</c:f>
              <c:numCache>
                <c:formatCode>#,##0.00000000</c:formatCode>
                <c:ptCount val="8"/>
                <c:pt idx="0">
                  <c:v>84.451841849229623</c:v>
                </c:pt>
                <c:pt idx="1">
                  <c:v>80.715666098069647</c:v>
                </c:pt>
                <c:pt idx="2">
                  <c:v>80.493324920081932</c:v>
                </c:pt>
                <c:pt idx="3">
                  <c:v>71.40226872107425</c:v>
                </c:pt>
                <c:pt idx="4">
                  <c:v>71.992413290286834</c:v>
                </c:pt>
                <c:pt idx="5">
                  <c:v>72.340388870814678</c:v>
                </c:pt>
                <c:pt idx="6">
                  <c:v>70.399086382429417</c:v>
                </c:pt>
                <c:pt idx="7">
                  <c:v>67.487884308670161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B-4C7D-ACFE-017E823AA722}"/>
            </c:ext>
          </c:extLst>
        </c:ser>
        <c:ser>
          <c:idx val="1"/>
          <c:order val="1"/>
          <c:tx>
            <c:v>"Anthopogenic Area"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Avie!$B$2:$I$2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Avie!$B$18:$I$18</c:f>
              <c:numCache>
                <c:formatCode>General</c:formatCode>
                <c:ptCount val="8"/>
                <c:pt idx="0">
                  <c:v>13.01843643511563</c:v>
                </c:pt>
                <c:pt idx="1">
                  <c:v>16.448927005787823</c:v>
                </c:pt>
                <c:pt idx="2">
                  <c:v>16.477599917931844</c:v>
                </c:pt>
                <c:pt idx="3">
                  <c:v>26.717490456430209</c:v>
                </c:pt>
                <c:pt idx="4">
                  <c:v>26.20872481605835</c:v>
                </c:pt>
                <c:pt idx="5">
                  <c:v>26.009502765455178</c:v>
                </c:pt>
                <c:pt idx="6">
                  <c:v>27.834110846551624</c:v>
                </c:pt>
                <c:pt idx="7">
                  <c:v>30.617510943503124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B-4C7D-ACFE-017E823AA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5755039"/>
        <c:axId val="1345756959"/>
      </c:barChart>
      <c:catAx>
        <c:axId val="134575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56959"/>
        <c:crosses val="autoZero"/>
        <c:auto val="1"/>
        <c:lblAlgn val="ctr"/>
        <c:lblOffset val="100"/>
        <c:noMultiLvlLbl val="0"/>
      </c:catAx>
      <c:valAx>
        <c:axId val="134575695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5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Avie!$K$2:$R$2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Avie!$K$17:$R$17</c:f>
              <c:numCache>
                <c:formatCode>#,##0.00000000</c:formatCode>
                <c:ptCount val="8"/>
                <c:pt idx="0">
                  <c:v>94.684472374967271</c:v>
                </c:pt>
                <c:pt idx="1">
                  <c:v>89.960988296488935</c:v>
                </c:pt>
                <c:pt idx="2">
                  <c:v>89.960988296488935</c:v>
                </c:pt>
                <c:pt idx="3">
                  <c:v>84.577373211963589</c:v>
                </c:pt>
                <c:pt idx="4">
                  <c:v>83.302990897269183</c:v>
                </c:pt>
                <c:pt idx="5">
                  <c:v>89.518855656696999</c:v>
                </c:pt>
                <c:pt idx="6">
                  <c:v>84.213263979193755</c:v>
                </c:pt>
                <c:pt idx="7">
                  <c:v>85.643693107932378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F-4D44-9386-8BFA0C114470}"/>
            </c:ext>
          </c:extLst>
        </c:ser>
        <c:ser>
          <c:idx val="1"/>
          <c:order val="1"/>
          <c:tx>
            <c:v>Anthropogenic Area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Avie!$K$2:$R$2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Avie!$K$18:$R$18</c:f>
              <c:numCache>
                <c:formatCode>General</c:formatCode>
                <c:ptCount val="8"/>
                <c:pt idx="0">
                  <c:v>1.4401675831369469</c:v>
                </c:pt>
                <c:pt idx="1">
                  <c:v>5.4356306892067625</c:v>
                </c:pt>
                <c:pt idx="2">
                  <c:v>5.4356306892067625</c:v>
                </c:pt>
                <c:pt idx="3">
                  <c:v>11.209362808842654</c:v>
                </c:pt>
                <c:pt idx="4">
                  <c:v>12.899869960988298</c:v>
                </c:pt>
                <c:pt idx="5">
                  <c:v>6.2678803641092324</c:v>
                </c:pt>
                <c:pt idx="6">
                  <c:v>10.611183355006503</c:v>
                </c:pt>
                <c:pt idx="7">
                  <c:v>8.9726918075422635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8F-4D44-9386-8BFA0C114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5650575"/>
        <c:axId val="1555649135"/>
      </c:barChart>
      <c:catAx>
        <c:axId val="155565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49135"/>
        <c:crosses val="autoZero"/>
        <c:auto val="1"/>
        <c:lblAlgn val="ctr"/>
        <c:lblOffset val="100"/>
        <c:noMultiLvlLbl val="0"/>
      </c:catAx>
      <c:valAx>
        <c:axId val="155564913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5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Duvuno Buffer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Duvuno!$B$2:$I$2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Duvuno!$B$17:$I$17</c:f>
              <c:numCache>
                <c:formatCode>General</c:formatCode>
                <c:ptCount val="8"/>
                <c:pt idx="0">
                  <c:v>85.738193859540374</c:v>
                </c:pt>
                <c:pt idx="1">
                  <c:v>82.798004914306617</c:v>
                </c:pt>
                <c:pt idx="2">
                  <c:v>82.574084973993678</c:v>
                </c:pt>
                <c:pt idx="3">
                  <c:v>72.355210139327667</c:v>
                </c:pt>
                <c:pt idx="4">
                  <c:v>72.950105506772857</c:v>
                </c:pt>
                <c:pt idx="5">
                  <c:v>72.743999149361372</c:v>
                </c:pt>
                <c:pt idx="6">
                  <c:v>71.19355009491828</c:v>
                </c:pt>
                <c:pt idx="7">
                  <c:v>68.612898475479412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6-4DB6-AEB7-7163D8345AFB}"/>
            </c:ext>
          </c:extLst>
        </c:ser>
        <c:ser>
          <c:idx val="1"/>
          <c:order val="1"/>
          <c:tx>
            <c:v>Anthropogenic Area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Duvuno!$B$2:$I$2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Duvuno!$B$18:$I$18</c:f>
              <c:numCache>
                <c:formatCode>General</c:formatCode>
                <c:ptCount val="8"/>
                <c:pt idx="0">
                  <c:v>12.821148941038674</c:v>
                </c:pt>
                <c:pt idx="1">
                  <c:v>15.634337505110727</c:v>
                </c:pt>
                <c:pt idx="2">
                  <c:v>15.85410212913246</c:v>
                </c:pt>
                <c:pt idx="3">
                  <c:v>26.054344774689763</c:v>
                </c:pt>
                <c:pt idx="4">
                  <c:v>25.492549571277245</c:v>
                </c:pt>
                <c:pt idx="5">
                  <c:v>25.771783266888313</c:v>
                </c:pt>
                <c:pt idx="6">
                  <c:v>27.258114100358448</c:v>
                </c:pt>
                <c:pt idx="7">
                  <c:v>29.811569308139834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6-4DB6-AEB7-7163D8345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6977903"/>
        <c:axId val="1347718527"/>
      </c:barChart>
      <c:catAx>
        <c:axId val="15569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18527"/>
        <c:crosses val="autoZero"/>
        <c:auto val="1"/>
        <c:lblAlgn val="ctr"/>
        <c:lblOffset val="100"/>
        <c:noMultiLvlLbl val="0"/>
      </c:catAx>
      <c:valAx>
        <c:axId val="134771852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7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Duvuno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Duvuno!$K$2:$R$2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Duvuno!$K$17:$R$17</c:f>
              <c:numCache>
                <c:formatCode>General</c:formatCode>
                <c:ptCount val="8"/>
                <c:pt idx="0">
                  <c:v>97.735022294909967</c:v>
                </c:pt>
                <c:pt idx="1">
                  <c:v>94.98357030986088</c:v>
                </c:pt>
                <c:pt idx="2">
                  <c:v>94.98357030986088</c:v>
                </c:pt>
                <c:pt idx="3">
                  <c:v>91.439670792003199</c:v>
                </c:pt>
                <c:pt idx="4">
                  <c:v>92.184381045972415</c:v>
                </c:pt>
                <c:pt idx="5">
                  <c:v>92.127568098762396</c:v>
                </c:pt>
                <c:pt idx="6">
                  <c:v>89.675398458372996</c:v>
                </c:pt>
                <c:pt idx="7">
                  <c:v>81.24251451033382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6-465C-A224-1A23D7F76EB9}"/>
            </c:ext>
          </c:extLst>
        </c:ser>
        <c:ser>
          <c:idx val="1"/>
          <c:order val="1"/>
          <c:tx>
            <c:v>Anthropogenic Area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Duvuno!$K$2:$R$2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Duvuno!$K$18:$R$18</c:f>
              <c:numCache>
                <c:formatCode>General</c:formatCode>
                <c:ptCount val="8"/>
                <c:pt idx="0">
                  <c:v>2.1554317806612868</c:v>
                </c:pt>
                <c:pt idx="1">
                  <c:v>4.8152811473144368</c:v>
                </c:pt>
                <c:pt idx="2">
                  <c:v>4.8152811473144368</c:v>
                </c:pt>
                <c:pt idx="3">
                  <c:v>8.4190645825016119</c:v>
                </c:pt>
                <c:pt idx="4">
                  <c:v>7.7449866412799802</c:v>
                </c:pt>
                <c:pt idx="5">
                  <c:v>7.8678254460584105</c:v>
                </c:pt>
                <c:pt idx="6">
                  <c:v>10.315388631268618</c:v>
                </c:pt>
                <c:pt idx="7">
                  <c:v>18.450388477720111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06-465C-A224-1A23D7F76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5648655"/>
        <c:axId val="1555651535"/>
      </c:barChart>
      <c:catAx>
        <c:axId val="15556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51535"/>
        <c:crosses val="autoZero"/>
        <c:auto val="1"/>
        <c:lblAlgn val="ctr"/>
        <c:lblOffset val="100"/>
        <c:noMultiLvlLbl val="0"/>
      </c:catAx>
      <c:valAx>
        <c:axId val="155565153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64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Dureno Buffer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Dureno!$B$2:$I$2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Dureno!$B$17:$I$17</c:f>
              <c:numCache>
                <c:formatCode>General</c:formatCode>
                <c:ptCount val="8"/>
                <c:pt idx="0">
                  <c:v>85.138233452298806</c:v>
                </c:pt>
                <c:pt idx="1">
                  <c:v>81.509108100693211</c:v>
                </c:pt>
                <c:pt idx="2">
                  <c:v>81.197441358071842</c:v>
                </c:pt>
                <c:pt idx="3">
                  <c:v>70.317149845224336</c:v>
                </c:pt>
                <c:pt idx="4">
                  <c:v>70.812174289798492</c:v>
                </c:pt>
                <c:pt idx="5">
                  <c:v>70.411651425452163</c:v>
                </c:pt>
                <c:pt idx="6">
                  <c:v>68.779909340987828</c:v>
                </c:pt>
                <c:pt idx="7">
                  <c:v>65.831874415404499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C-48DD-8146-14A36FC3A633}"/>
            </c:ext>
          </c:extLst>
        </c:ser>
        <c:ser>
          <c:idx val="1"/>
          <c:order val="1"/>
          <c:tx>
            <c:v>Anthropogenic Area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Dureno!$B$2:$I$2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Dureno!$B$18:$I$18</c:f>
              <c:numCache>
                <c:formatCode>General</c:formatCode>
                <c:ptCount val="8"/>
                <c:pt idx="0">
                  <c:v>11.976162622758254</c:v>
                </c:pt>
                <c:pt idx="1">
                  <c:v>15.188498899570863</c:v>
                </c:pt>
                <c:pt idx="2">
                  <c:v>15.358241339999415</c:v>
                </c:pt>
                <c:pt idx="3">
                  <c:v>27.403678009685549</c:v>
                </c:pt>
                <c:pt idx="4">
                  <c:v>27.061437866505926</c:v>
                </c:pt>
                <c:pt idx="5">
                  <c:v>27.611876599591916</c:v>
                </c:pt>
                <c:pt idx="6">
                  <c:v>29.135906643877647</c:v>
                </c:pt>
                <c:pt idx="7">
                  <c:v>31.954296248329484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C-48DD-8146-14A36FC3A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7505551"/>
        <c:axId val="1347504591"/>
      </c:barChart>
      <c:catAx>
        <c:axId val="134750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504591"/>
        <c:crosses val="autoZero"/>
        <c:auto val="1"/>
        <c:lblAlgn val="ctr"/>
        <c:lblOffset val="100"/>
        <c:noMultiLvlLbl val="0"/>
      </c:catAx>
      <c:valAx>
        <c:axId val="134750459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50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Dureno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Dureno!$K$2:$R$2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Dureno!$K$17:$R$17</c:f>
              <c:numCache>
                <c:formatCode>General</c:formatCode>
                <c:ptCount val="8"/>
                <c:pt idx="0">
                  <c:v>99.33474944481992</c:v>
                </c:pt>
                <c:pt idx="1">
                  <c:v>98.088443158107282</c:v>
                </c:pt>
                <c:pt idx="2">
                  <c:v>98.088443158107282</c:v>
                </c:pt>
                <c:pt idx="3">
                  <c:v>94.681679631534919</c:v>
                </c:pt>
                <c:pt idx="4">
                  <c:v>96.601890402792336</c:v>
                </c:pt>
                <c:pt idx="5">
                  <c:v>96.438427292570111</c:v>
                </c:pt>
                <c:pt idx="6">
                  <c:v>96.239386917181889</c:v>
                </c:pt>
                <c:pt idx="7">
                  <c:v>96.248040846546601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F-45DB-9046-AD76FF494AA9}"/>
            </c:ext>
          </c:extLst>
        </c:ser>
        <c:ser>
          <c:idx val="1"/>
          <c:order val="1"/>
          <c:tx>
            <c:v>Anthropogenic Area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Dureno!$K$2:$R$2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Dureno!$K$18:$R$18</c:f>
              <c:numCache>
                <c:formatCode>General</c:formatCode>
                <c:ptCount val="8"/>
                <c:pt idx="0">
                  <c:v>0.48662740175726565</c:v>
                </c:pt>
                <c:pt idx="1">
                  <c:v>1.6134770526639679</c:v>
                </c:pt>
                <c:pt idx="2">
                  <c:v>1.6134770526639679</c:v>
                </c:pt>
                <c:pt idx="3">
                  <c:v>5.1885114279945004</c:v>
                </c:pt>
                <c:pt idx="4">
                  <c:v>3.3250319714612639</c:v>
                </c:pt>
                <c:pt idx="5">
                  <c:v>3.5461879441148474</c:v>
                </c:pt>
                <c:pt idx="6">
                  <c:v>3.7346512947239874</c:v>
                </c:pt>
                <c:pt idx="7">
                  <c:v>3.6836892662429448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7F-45DB-9046-AD76FF494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7719007"/>
        <c:axId val="1017303535"/>
      </c:barChart>
      <c:catAx>
        <c:axId val="134771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303535"/>
        <c:crosses val="autoZero"/>
        <c:auto val="1"/>
        <c:lblAlgn val="ctr"/>
        <c:lblOffset val="100"/>
        <c:noMultiLvlLbl val="0"/>
      </c:catAx>
      <c:valAx>
        <c:axId val="101730353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1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Bermejo Buffer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Bermejo!$B$2:$I$2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Bermejo!$B$18:$I$18</c:f>
              <c:numCache>
                <c:formatCode>General</c:formatCode>
                <c:ptCount val="8"/>
                <c:pt idx="0">
                  <c:v>85.202457423320269</c:v>
                </c:pt>
                <c:pt idx="1">
                  <c:v>82.097539222981084</c:v>
                </c:pt>
                <c:pt idx="2">
                  <c:v>81.919610145408754</c:v>
                </c:pt>
                <c:pt idx="3">
                  <c:v>73.820319419242892</c:v>
                </c:pt>
                <c:pt idx="4">
                  <c:v>74.368889827334641</c:v>
                </c:pt>
                <c:pt idx="5">
                  <c:v>74.799960318612165</c:v>
                </c:pt>
                <c:pt idx="6">
                  <c:v>73.204634014418403</c:v>
                </c:pt>
                <c:pt idx="7">
                  <c:v>70.530467766040516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6-4DBC-8793-14FD4D044C5F}"/>
            </c:ext>
          </c:extLst>
        </c:ser>
        <c:ser>
          <c:idx val="1"/>
          <c:order val="1"/>
          <c:tx>
            <c:v>Anthropogenic Area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Bermejo!$B$2:$I$2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Bermejo!$B$19:$I$19</c:f>
              <c:numCache>
                <c:formatCode>General</c:formatCode>
                <c:ptCount val="8"/>
                <c:pt idx="0">
                  <c:v>11.900110052332895</c:v>
                </c:pt>
                <c:pt idx="1">
                  <c:v>14.87238770096446</c:v>
                </c:pt>
                <c:pt idx="2">
                  <c:v>14.892582376932831</c:v>
                </c:pt>
                <c:pt idx="3">
                  <c:v>24.152739537883512</c:v>
                </c:pt>
                <c:pt idx="4">
                  <c:v>23.677607130897606</c:v>
                </c:pt>
                <c:pt idx="5">
                  <c:v>23.426576335167194</c:v>
                </c:pt>
                <c:pt idx="6">
                  <c:v>24.915526608476739</c:v>
                </c:pt>
                <c:pt idx="7">
                  <c:v>27.457825693574726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6-4DBC-8793-14FD4D044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8980511"/>
        <c:axId val="1358982911"/>
      </c:barChart>
      <c:catAx>
        <c:axId val="135898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982911"/>
        <c:crosses val="autoZero"/>
        <c:auto val="1"/>
        <c:lblAlgn val="ctr"/>
        <c:lblOffset val="100"/>
        <c:noMultiLvlLbl val="0"/>
      </c:catAx>
      <c:valAx>
        <c:axId val="135898291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98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Bermejo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Bermejo!$K$2:$R$2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Bermejo!$K$18:$R$18</c:f>
              <c:numCache>
                <c:formatCode>General</c:formatCode>
                <c:ptCount val="8"/>
                <c:pt idx="0">
                  <c:v>99.527070808146263</c:v>
                </c:pt>
                <c:pt idx="1">
                  <c:v>99.194110152417593</c:v>
                </c:pt>
                <c:pt idx="2">
                  <c:v>99.174697016413077</c:v>
                </c:pt>
                <c:pt idx="3">
                  <c:v>99.058381335982659</c:v>
                </c:pt>
                <c:pt idx="4">
                  <c:v>99.220864390272538</c:v>
                </c:pt>
                <c:pt idx="5">
                  <c:v>99.309773290461294</c:v>
                </c:pt>
                <c:pt idx="6">
                  <c:v>99.057076251209239</c:v>
                </c:pt>
                <c:pt idx="7">
                  <c:v>99.090355912931273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3-4901-A941-CAE0AE62F5D0}"/>
            </c:ext>
          </c:extLst>
        </c:ser>
        <c:ser>
          <c:idx val="1"/>
          <c:order val="1"/>
          <c:tx>
            <c:v>Anthropogenic Area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Bermejo!$K$2:$R$2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Bermejo!$K$19:$R$19</c:f>
              <c:numCache>
                <c:formatCode>General</c:formatCode>
                <c:ptCount val="8"/>
                <c:pt idx="0">
                  <c:v>0.13894242993413769</c:v>
                </c:pt>
                <c:pt idx="1">
                  <c:v>0.43687712789993915</c:v>
                </c:pt>
                <c:pt idx="2">
                  <c:v>0.44519704333044585</c:v>
                </c:pt>
                <c:pt idx="3">
                  <c:v>0.56526484248442466</c:v>
                </c:pt>
                <c:pt idx="4">
                  <c:v>0.42252119539239819</c:v>
                </c:pt>
                <c:pt idx="5">
                  <c:v>0.3230084814196712</c:v>
                </c:pt>
                <c:pt idx="6">
                  <c:v>0.51240890916120574</c:v>
                </c:pt>
                <c:pt idx="7">
                  <c:v>0.43671399230326252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3-4901-A941-CAE0AE62F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7717087"/>
        <c:axId val="1347717567"/>
      </c:barChart>
      <c:catAx>
        <c:axId val="134771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17567"/>
        <c:crosses val="autoZero"/>
        <c:auto val="1"/>
        <c:lblAlgn val="ctr"/>
        <c:lblOffset val="100"/>
        <c:noMultiLvlLbl val="0"/>
      </c:catAx>
      <c:valAx>
        <c:axId val="134771756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1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Sinangoe Buffer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Sinangoe!$B$2:$I$2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Sinangoe!$B$18:$I$18</c:f>
              <c:numCache>
                <c:formatCode>General</c:formatCode>
                <c:ptCount val="8"/>
                <c:pt idx="0">
                  <c:v>86.852212681521962</c:v>
                </c:pt>
                <c:pt idx="1">
                  <c:v>84.988252872983466</c:v>
                </c:pt>
                <c:pt idx="2">
                  <c:v>85.190284979882932</c:v>
                </c:pt>
                <c:pt idx="3">
                  <c:v>78.650802073207487</c:v>
                </c:pt>
                <c:pt idx="4">
                  <c:v>79.052918628578794</c:v>
                </c:pt>
                <c:pt idx="5">
                  <c:v>79.210199537605916</c:v>
                </c:pt>
                <c:pt idx="6">
                  <c:v>78.31538033399346</c:v>
                </c:pt>
                <c:pt idx="7">
                  <c:v>76.602589536729468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D-4FCF-AC93-D0292F40F43D}"/>
            </c:ext>
          </c:extLst>
        </c:ser>
        <c:ser>
          <c:idx val="1"/>
          <c:order val="1"/>
          <c:tx>
            <c:v>Anthropogenic Area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Sinangoe!$B$19:$I$19</c:f>
              <c:numCache>
                <c:formatCode>General</c:formatCode>
                <c:ptCount val="8"/>
                <c:pt idx="0">
                  <c:v>11.942438232594565</c:v>
                </c:pt>
                <c:pt idx="1">
                  <c:v>13.724265002400863</c:v>
                </c:pt>
                <c:pt idx="2">
                  <c:v>13.529638991522441</c:v>
                </c:pt>
                <c:pt idx="3">
                  <c:v>20.051213428655398</c:v>
                </c:pt>
                <c:pt idx="4">
                  <c:v>19.692359860357886</c:v>
                </c:pt>
                <c:pt idx="5">
                  <c:v>19.611137509928689</c:v>
                </c:pt>
                <c:pt idx="6">
                  <c:v>20.446797837300107</c:v>
                </c:pt>
                <c:pt idx="7">
                  <c:v>22.137175580658152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AD-4FCF-AC93-D0292F40F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1189903"/>
        <c:axId val="1391189423"/>
      </c:barChart>
      <c:catAx>
        <c:axId val="139118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89423"/>
        <c:crosses val="autoZero"/>
        <c:auto val="1"/>
        <c:lblAlgn val="ctr"/>
        <c:lblOffset val="100"/>
        <c:noMultiLvlLbl val="0"/>
      </c:catAx>
      <c:valAx>
        <c:axId val="13911894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18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Sinangoe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Sinangoe!$K$2:$R$2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Sinangoe!$K$18:$R$18</c:f>
              <c:numCache>
                <c:formatCode>General</c:formatCode>
                <c:ptCount val="8"/>
                <c:pt idx="0">
                  <c:v>96.594541215517395</c:v>
                </c:pt>
                <c:pt idx="1">
                  <c:v>96.568759856755747</c:v>
                </c:pt>
                <c:pt idx="2">
                  <c:v>96.560627579456707</c:v>
                </c:pt>
                <c:pt idx="3">
                  <c:v>96.491212783939915</c:v>
                </c:pt>
                <c:pt idx="4">
                  <c:v>96.438933858446092</c:v>
                </c:pt>
                <c:pt idx="5">
                  <c:v>96.507477338537996</c:v>
                </c:pt>
                <c:pt idx="6">
                  <c:v>96.551333548257801</c:v>
                </c:pt>
                <c:pt idx="7">
                  <c:v>96.596351511877472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4-4373-BD12-B55FCE76BD07}"/>
            </c:ext>
          </c:extLst>
        </c:ser>
        <c:ser>
          <c:idx val="1"/>
          <c:order val="1"/>
          <c:tx>
            <c:v>Anthopogenic Area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Sinangoe!$K$2:$R$2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Sinangoe!$K$19:$R$19</c:f>
              <c:numCache>
                <c:formatCode>General</c:formatCode>
                <c:ptCount val="8"/>
                <c:pt idx="0">
                  <c:v>3.0399621355989646</c:v>
                </c:pt>
                <c:pt idx="1">
                  <c:v>3.0612215261380107</c:v>
                </c:pt>
                <c:pt idx="2">
                  <c:v>3.0696442419120147</c:v>
                </c:pt>
                <c:pt idx="3">
                  <c:v>3.109724751457275</c:v>
                </c:pt>
                <c:pt idx="4">
                  <c:v>3.1466104377779134</c:v>
                </c:pt>
                <c:pt idx="5">
                  <c:v>3.1198900980810729</c:v>
                </c:pt>
                <c:pt idx="6">
                  <c:v>3.061511964612976</c:v>
                </c:pt>
                <c:pt idx="7">
                  <c:v>2.9247154429041524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E4-4373-BD12-B55FCE76B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302575"/>
        <c:axId val="1017303055"/>
      </c:barChart>
      <c:catAx>
        <c:axId val="101730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303055"/>
        <c:crosses val="autoZero"/>
        <c:auto val="1"/>
        <c:lblAlgn val="ctr"/>
        <c:lblOffset val="100"/>
        <c:noMultiLvlLbl val="0"/>
      </c:catAx>
      <c:valAx>
        <c:axId val="101730305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30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Remolino Buffer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Remolino!$B$2:$I$2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Remolino!$B$18:$I$18</c:f>
              <c:numCache>
                <c:formatCode>General</c:formatCode>
                <c:ptCount val="8"/>
                <c:pt idx="0">
                  <c:v>92.987631044081667</c:v>
                </c:pt>
                <c:pt idx="1">
                  <c:v>91.479499030396681</c:v>
                </c:pt>
                <c:pt idx="2">
                  <c:v>91.303652861230503</c:v>
                </c:pt>
                <c:pt idx="3">
                  <c:v>84.989881091896819</c:v>
                </c:pt>
                <c:pt idx="4">
                  <c:v>85.302058293673085</c:v>
                </c:pt>
                <c:pt idx="5">
                  <c:v>84.25319601585997</c:v>
                </c:pt>
                <c:pt idx="6">
                  <c:v>83.847191929780607</c:v>
                </c:pt>
                <c:pt idx="7">
                  <c:v>82.722846071993217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3-405C-B205-20B6BEA1EA5D}"/>
            </c:ext>
          </c:extLst>
        </c:ser>
        <c:ser>
          <c:idx val="1"/>
          <c:order val="1"/>
          <c:tx>
            <c:v>Anthropogenic Area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Remolino!$B$2:$I$2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Remolino!$B$19:$I$19</c:f>
              <c:numCache>
                <c:formatCode>General</c:formatCode>
                <c:ptCount val="8"/>
                <c:pt idx="0">
                  <c:v>4.2590063352600041</c:v>
                </c:pt>
                <c:pt idx="1">
                  <c:v>5.5574113729931192</c:v>
                </c:pt>
                <c:pt idx="2">
                  <c:v>5.7196525235724698</c:v>
                </c:pt>
                <c:pt idx="3">
                  <c:v>12.789427612675111</c:v>
                </c:pt>
                <c:pt idx="4">
                  <c:v>12.557708990297387</c:v>
                </c:pt>
                <c:pt idx="5">
                  <c:v>13.68584226700132</c:v>
                </c:pt>
                <c:pt idx="6">
                  <c:v>14.040968959774963</c:v>
                </c:pt>
                <c:pt idx="7">
                  <c:v>15.082328617488583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3-405C-B205-20B6BEA1E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8822799"/>
        <c:axId val="1558823279"/>
      </c:barChart>
      <c:catAx>
        <c:axId val="155882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823279"/>
        <c:crosses val="autoZero"/>
        <c:auto val="1"/>
        <c:lblAlgn val="ctr"/>
        <c:lblOffset val="100"/>
        <c:noMultiLvlLbl val="0"/>
      </c:catAx>
      <c:valAx>
        <c:axId val="1558823279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82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Remolino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Remolino!$K$2:$R$2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Remolino!$K$18:$R$18</c:f>
              <c:numCache>
                <c:formatCode>General</c:formatCode>
                <c:ptCount val="8"/>
                <c:pt idx="0">
                  <c:v>99.964583711036809</c:v>
                </c:pt>
                <c:pt idx="1">
                  <c:v>99.964683030196014</c:v>
                </c:pt>
                <c:pt idx="2">
                  <c:v>99.957115108095152</c:v>
                </c:pt>
                <c:pt idx="3">
                  <c:v>99.634637538575376</c:v>
                </c:pt>
                <c:pt idx="4">
                  <c:v>99.637580619392381</c:v>
                </c:pt>
                <c:pt idx="5">
                  <c:v>99.595116167604246</c:v>
                </c:pt>
                <c:pt idx="6">
                  <c:v>99.608570251339103</c:v>
                </c:pt>
                <c:pt idx="7">
                  <c:v>99.138097760735945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A-480C-8D1A-5072372ABC9D}"/>
            </c:ext>
          </c:extLst>
        </c:ser>
        <c:ser>
          <c:idx val="1"/>
          <c:order val="1"/>
          <c:tx>
            <c:v>Anthropogenic Area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Remolino!$K$2:$R$2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Remolino!$K$19:$R$19</c:f>
              <c:numCache>
                <c:formatCode>General</c:formatCode>
                <c:ptCount val="8"/>
                <c:pt idx="0">
                  <c:v>3.2464931549589127E-2</c:v>
                </c:pt>
                <c:pt idx="1">
                  <c:v>2.7749047703135646E-2</c:v>
                </c:pt>
                <c:pt idx="2">
                  <c:v>3.6578290154133351E-2</c:v>
                </c:pt>
                <c:pt idx="3">
                  <c:v>0.34265869512205377</c:v>
                </c:pt>
                <c:pt idx="4">
                  <c:v>0.3561127788569074</c:v>
                </c:pt>
                <c:pt idx="5">
                  <c:v>0.40025899111189589</c:v>
                </c:pt>
                <c:pt idx="6">
                  <c:v>0.38007786550961548</c:v>
                </c:pt>
                <c:pt idx="7">
                  <c:v>0.84760727529577962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6A-480C-8D1A-5072372AB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8658767"/>
        <c:axId val="1528658287"/>
      </c:barChart>
      <c:catAx>
        <c:axId val="152865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658287"/>
        <c:crosses val="autoZero"/>
        <c:auto val="1"/>
        <c:lblAlgn val="ctr"/>
        <c:lblOffset val="100"/>
        <c:noMultiLvlLbl val="0"/>
      </c:catAx>
      <c:valAx>
        <c:axId val="152865828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65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Zabalo</a:t>
            </a:r>
            <a:r>
              <a:rPr lang="en-US" baseline="0"/>
              <a:t> Buffer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Zabalo!$B$2:$I$2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Zabalo!$B$18:$I$18</c:f>
              <c:numCache>
                <c:formatCode>General</c:formatCode>
                <c:ptCount val="8"/>
                <c:pt idx="0">
                  <c:v>96.765168496607671</c:v>
                </c:pt>
                <c:pt idx="1">
                  <c:v>96.795774803652833</c:v>
                </c:pt>
                <c:pt idx="2">
                  <c:v>96.792480948400396</c:v>
                </c:pt>
                <c:pt idx="3">
                  <c:v>95.091552692653408</c:v>
                </c:pt>
                <c:pt idx="4">
                  <c:v>94.943123516444345</c:v>
                </c:pt>
                <c:pt idx="5">
                  <c:v>94.562876245124485</c:v>
                </c:pt>
                <c:pt idx="6">
                  <c:v>94.373371087845996</c:v>
                </c:pt>
                <c:pt idx="7">
                  <c:v>93.564919816038895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C-4E90-98F1-C730B9BC2D8C}"/>
            </c:ext>
          </c:extLst>
        </c:ser>
        <c:ser>
          <c:idx val="1"/>
          <c:order val="1"/>
          <c:tx>
            <c:v>Anthopogenic Area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Zabalo!$B$2:$I$2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Zabalo!$B$19:$I$19</c:f>
              <c:numCache>
                <c:formatCode>General</c:formatCode>
                <c:ptCount val="8"/>
                <c:pt idx="0">
                  <c:v>1.0980576711480787</c:v>
                </c:pt>
                <c:pt idx="1">
                  <c:v>1.1117987163093763</c:v>
                </c:pt>
                <c:pt idx="2">
                  <c:v>1.1681295582314584</c:v>
                </c:pt>
                <c:pt idx="3">
                  <c:v>2.8945464492338995</c:v>
                </c:pt>
                <c:pt idx="4">
                  <c:v>3.1095317887603571</c:v>
                </c:pt>
                <c:pt idx="5">
                  <c:v>3.5121823476013621</c:v>
                </c:pt>
                <c:pt idx="6">
                  <c:v>3.6931246082911549</c:v>
                </c:pt>
                <c:pt idx="7">
                  <c:v>4.4242224085452921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C-4E90-98F1-C730B9BC2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6712911"/>
        <c:axId val="1356713391"/>
      </c:barChart>
      <c:catAx>
        <c:axId val="135671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713391"/>
        <c:crosses val="autoZero"/>
        <c:auto val="1"/>
        <c:lblAlgn val="ctr"/>
        <c:lblOffset val="100"/>
        <c:noMultiLvlLbl val="0"/>
      </c:catAx>
      <c:valAx>
        <c:axId val="135671339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71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Zabalo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Zabalo!$K$2:$R$2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Zabalo!$K$18:$R$18</c:f>
              <c:numCache>
                <c:formatCode>General</c:formatCode>
                <c:ptCount val="8"/>
                <c:pt idx="0">
                  <c:v>99.358098977920605</c:v>
                </c:pt>
                <c:pt idx="1">
                  <c:v>99.321874444952641</c:v>
                </c:pt>
                <c:pt idx="2">
                  <c:v>99.342043198868467</c:v>
                </c:pt>
                <c:pt idx="3">
                  <c:v>99.306585228274514</c:v>
                </c:pt>
                <c:pt idx="4">
                  <c:v>99.288693591736276</c:v>
                </c:pt>
                <c:pt idx="5">
                  <c:v>99.305804502316477</c:v>
                </c:pt>
                <c:pt idx="6">
                  <c:v>99.318165996651985</c:v>
                </c:pt>
                <c:pt idx="7">
                  <c:v>99.17138951654195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F-4BCF-B5C8-C88BEE253326}"/>
            </c:ext>
          </c:extLst>
        </c:ser>
        <c:ser>
          <c:idx val="1"/>
          <c:order val="1"/>
          <c:tx>
            <c:v>Anthropogenic Area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Zabalo!$K$2:$R$2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Zabalo!$K$19:$R$19</c:f>
              <c:numCache>
                <c:formatCode>General</c:formatCode>
                <c:ptCount val="8"/>
                <c:pt idx="0">
                  <c:v>6.186527046519427E-3</c:v>
                </c:pt>
                <c:pt idx="1">
                  <c:v>7.8072595803207611E-4</c:v>
                </c:pt>
                <c:pt idx="2">
                  <c:v>9.1084695103742219E-4</c:v>
                </c:pt>
                <c:pt idx="3">
                  <c:v>5.0291763796566233E-2</c:v>
                </c:pt>
                <c:pt idx="4">
                  <c:v>6.8378581824309337E-2</c:v>
                </c:pt>
                <c:pt idx="5">
                  <c:v>6.0050838271967187E-2</c:v>
                </c:pt>
                <c:pt idx="6">
                  <c:v>5.8814688838416396E-2</c:v>
                </c:pt>
                <c:pt idx="7">
                  <c:v>0.20832370980155898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9F-4BCF-B5C8-C88BEE253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1220303"/>
        <c:axId val="1541220783"/>
      </c:barChart>
      <c:catAx>
        <c:axId val="154122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220783"/>
        <c:crosses val="autoZero"/>
        <c:auto val="1"/>
        <c:lblAlgn val="ctr"/>
        <c:lblOffset val="100"/>
        <c:noMultiLvlLbl val="0"/>
      </c:catAx>
      <c:valAx>
        <c:axId val="1541220783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22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Siona Buffer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Siona!$C$2:$J$2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Siona!$C$18:$J$18</c:f>
              <c:numCache>
                <c:formatCode>General</c:formatCode>
                <c:ptCount val="8"/>
                <c:pt idx="0">
                  <c:v>89.702866488214184</c:v>
                </c:pt>
                <c:pt idx="1">
                  <c:v>87.157569283927813</c:v>
                </c:pt>
                <c:pt idx="2">
                  <c:v>86.860889734610353</c:v>
                </c:pt>
                <c:pt idx="3">
                  <c:v>78.454870058268838</c:v>
                </c:pt>
                <c:pt idx="4">
                  <c:v>78.931266815770726</c:v>
                </c:pt>
                <c:pt idx="5">
                  <c:v>78.095657597719409</c:v>
                </c:pt>
                <c:pt idx="6">
                  <c:v>77.300762615068379</c:v>
                </c:pt>
                <c:pt idx="7">
                  <c:v>75.379399970500813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0-47BD-8A47-BF036D5A2A98}"/>
            </c:ext>
          </c:extLst>
        </c:ser>
        <c:ser>
          <c:idx val="1"/>
          <c:order val="1"/>
          <c:tx>
            <c:v>Anthropogenic Area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Siona!$C$19:$J$19</c:f>
              <c:numCache>
                <c:formatCode>General</c:formatCode>
                <c:ptCount val="8"/>
                <c:pt idx="0">
                  <c:v>8.3930164156011315</c:v>
                </c:pt>
                <c:pt idx="1">
                  <c:v>10.788321740120223</c:v>
                </c:pt>
                <c:pt idx="2">
                  <c:v>11.087011455349231</c:v>
                </c:pt>
                <c:pt idx="3">
                  <c:v>19.494526192587465</c:v>
                </c:pt>
                <c:pt idx="4">
                  <c:v>19.041330099981465</c:v>
                </c:pt>
                <c:pt idx="5">
                  <c:v>19.941402826109005</c:v>
                </c:pt>
                <c:pt idx="6">
                  <c:v>20.689414876718619</c:v>
                </c:pt>
                <c:pt idx="7">
                  <c:v>22.607322548625707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50-47BD-8A47-BF036D5A2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9860335"/>
        <c:axId val="1519858415"/>
      </c:barChart>
      <c:catAx>
        <c:axId val="151986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858415"/>
        <c:crosses val="autoZero"/>
        <c:auto val="1"/>
        <c:lblAlgn val="ctr"/>
        <c:lblOffset val="100"/>
        <c:noMultiLvlLbl val="0"/>
      </c:catAx>
      <c:valAx>
        <c:axId val="151985841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86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Siona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Siona!$L$2:$S$2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Siona!$L$18:$S$18</c:f>
              <c:numCache>
                <c:formatCode>General</c:formatCode>
                <c:ptCount val="8"/>
                <c:pt idx="0">
                  <c:v>99.017392520406588</c:v>
                </c:pt>
                <c:pt idx="1">
                  <c:v>98.536488746735529</c:v>
                </c:pt>
                <c:pt idx="2">
                  <c:v>98.536488746735529</c:v>
                </c:pt>
                <c:pt idx="3">
                  <c:v>97.018691863024159</c:v>
                </c:pt>
                <c:pt idx="4">
                  <c:v>97.130931071921125</c:v>
                </c:pt>
                <c:pt idx="5">
                  <c:v>96.569001437835624</c:v>
                </c:pt>
                <c:pt idx="6">
                  <c:v>95.712168784295315</c:v>
                </c:pt>
                <c:pt idx="7">
                  <c:v>95.071745062941986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E-4A87-9504-4576A25D486B}"/>
            </c:ext>
          </c:extLst>
        </c:ser>
        <c:ser>
          <c:idx val="2"/>
          <c:order val="1"/>
          <c:tx>
            <c:v>Anthropogenic Area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numRef>
              <c:f>Siona!$L$2:$S$2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Siona!$L$19:$S$19</c:f>
              <c:numCache>
                <c:formatCode>General</c:formatCode>
                <c:ptCount val="8"/>
                <c:pt idx="0">
                  <c:v>0.24804398548537865</c:v>
                </c:pt>
                <c:pt idx="1">
                  <c:v>0.88764341676692382</c:v>
                </c:pt>
                <c:pt idx="2">
                  <c:v>0.88764341676692382</c:v>
                </c:pt>
                <c:pt idx="3">
                  <c:v>2.4817336189442178</c:v>
                </c:pt>
                <c:pt idx="4">
                  <c:v>2.44945567651633</c:v>
                </c:pt>
                <c:pt idx="5">
                  <c:v>3.1126206754893042</c:v>
                </c:pt>
                <c:pt idx="6">
                  <c:v>3.9811907626397489</c:v>
                </c:pt>
                <c:pt idx="7">
                  <c:v>4.6069426919803984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AE-4A87-9504-4576A25D4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8338495"/>
        <c:axId val="1558338015"/>
      </c:barChart>
      <c:catAx>
        <c:axId val="155833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38015"/>
        <c:crosses val="autoZero"/>
        <c:auto val="1"/>
        <c:lblAlgn val="ctr"/>
        <c:lblOffset val="100"/>
        <c:noMultiLvlLbl val="0"/>
      </c:catAx>
      <c:valAx>
        <c:axId val="15583380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3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Siekopai Buffer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Siekopai!$B$2:$I$2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Siekopai!$B$18:$I$18</c:f>
              <c:numCache>
                <c:formatCode>General</c:formatCode>
                <c:ptCount val="8"/>
                <c:pt idx="0">
                  <c:v>91.98854651846932</c:v>
                </c:pt>
                <c:pt idx="1">
                  <c:v>90.094169969736853</c:v>
                </c:pt>
                <c:pt idx="2">
                  <c:v>89.866170600673783</c:v>
                </c:pt>
                <c:pt idx="3">
                  <c:v>83.180652372206097</c:v>
                </c:pt>
                <c:pt idx="4">
                  <c:v>83.490330967068942</c:v>
                </c:pt>
                <c:pt idx="5">
                  <c:v>82.609586702439842</c:v>
                </c:pt>
                <c:pt idx="6">
                  <c:v>82.094006588698022</c:v>
                </c:pt>
                <c:pt idx="7">
                  <c:v>80.710252009605597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33-4976-B119-AD98169C0E72}"/>
            </c:ext>
          </c:extLst>
        </c:ser>
        <c:ser>
          <c:idx val="1"/>
          <c:order val="1"/>
          <c:tx>
            <c:v>Anthropogenic Area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Siekopai!$B$19:$I$19</c:f>
              <c:numCache>
                <c:formatCode>General</c:formatCode>
                <c:ptCount val="8"/>
                <c:pt idx="0">
                  <c:v>6.1289089376460506</c:v>
                </c:pt>
                <c:pt idx="1">
                  <c:v>7.8925803550488309</c:v>
                </c:pt>
                <c:pt idx="2">
                  <c:v>8.124050630052249</c:v>
                </c:pt>
                <c:pt idx="3">
                  <c:v>14.82006439622236</c:v>
                </c:pt>
                <c:pt idx="4">
                  <c:v>14.519390581196049</c:v>
                </c:pt>
                <c:pt idx="5">
                  <c:v>15.45559028552907</c:v>
                </c:pt>
                <c:pt idx="6">
                  <c:v>15.934496249953414</c:v>
                </c:pt>
                <c:pt idx="7">
                  <c:v>17.310270004107114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33-4976-B119-AD98169C0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14535071"/>
        <c:axId val="1347160767"/>
      </c:barChart>
      <c:catAx>
        <c:axId val="141453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160767"/>
        <c:crosses val="autoZero"/>
        <c:auto val="1"/>
        <c:lblAlgn val="ctr"/>
        <c:lblOffset val="100"/>
        <c:noMultiLvlLbl val="0"/>
      </c:catAx>
      <c:valAx>
        <c:axId val="1347160767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53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Siekopai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Natural Area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Siekopai!$K$2:$R$2</c:f>
              <c:numCache>
                <c:formatCode>General</c:formatCode>
                <c:ptCount val="8"/>
                <c:pt idx="0">
                  <c:v>1985</c:v>
                </c:pt>
                <c:pt idx="1">
                  <c:v>1990</c:v>
                </c:pt>
                <c:pt idx="2">
                  <c:v>1995</c:v>
                </c:pt>
                <c:pt idx="3">
                  <c:v>2000</c:v>
                </c:pt>
                <c:pt idx="4">
                  <c:v>2005</c:v>
                </c:pt>
                <c:pt idx="5">
                  <c:v>2010</c:v>
                </c:pt>
                <c:pt idx="6">
                  <c:v>2015</c:v>
                </c:pt>
                <c:pt idx="7">
                  <c:v>2020</c:v>
                </c:pt>
              </c:numCache>
            </c:numRef>
          </c:cat>
          <c:val>
            <c:numRef>
              <c:f>Siekopai!$K$18:$R$18</c:f>
              <c:numCache>
                <c:formatCode>General</c:formatCode>
                <c:ptCount val="8"/>
                <c:pt idx="0">
                  <c:v>99.800195468206397</c:v>
                </c:pt>
                <c:pt idx="1">
                  <c:v>99.699692708818318</c:v>
                </c:pt>
                <c:pt idx="2">
                  <c:v>99.693706516967524</c:v>
                </c:pt>
                <c:pt idx="3">
                  <c:v>98.547683343753746</c:v>
                </c:pt>
                <c:pt idx="4">
                  <c:v>98.336836364120089</c:v>
                </c:pt>
                <c:pt idx="5">
                  <c:v>97.651749963417714</c:v>
                </c:pt>
                <c:pt idx="6">
                  <c:v>97.855280486344824</c:v>
                </c:pt>
                <c:pt idx="7">
                  <c:v>97.329825868330389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E-4CC7-B1B3-10FDF7C0264E}"/>
            </c:ext>
          </c:extLst>
        </c:ser>
        <c:ser>
          <c:idx val="1"/>
          <c:order val="1"/>
          <c:tx>
            <c:v>Anthropogenic Area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Siekopai!$K$19:$R$19</c:f>
              <c:numCache>
                <c:formatCode>General</c:formatCode>
                <c:ptCount val="8"/>
                <c:pt idx="0">
                  <c:v>0.15944334924431192</c:v>
                </c:pt>
                <c:pt idx="1">
                  <c:v>0.23678714432043418</c:v>
                </c:pt>
                <c:pt idx="2">
                  <c:v>0.24377103481303128</c:v>
                </c:pt>
                <c:pt idx="3">
                  <c:v>1.3661820068375614</c:v>
                </c:pt>
                <c:pt idx="4">
                  <c:v>1.577694118899073</c:v>
                </c:pt>
                <c:pt idx="5">
                  <c:v>2.2571268939645885</c:v>
                </c:pt>
                <c:pt idx="6">
                  <c:v>2.0652361885251351</c:v>
                </c:pt>
                <c:pt idx="7">
                  <c:v>2.5940164686789142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BE-4CC7-B1B3-10FDF7C02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56712431"/>
        <c:axId val="1356711471"/>
      </c:barChart>
      <c:catAx>
        <c:axId val="135671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711471"/>
        <c:crosses val="autoZero"/>
        <c:auto val="1"/>
        <c:lblAlgn val="ctr"/>
        <c:lblOffset val="100"/>
        <c:noMultiLvlLbl val="0"/>
      </c:catAx>
      <c:valAx>
        <c:axId val="135671147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71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309563</xdr:colOff>
      <xdr:row>21</xdr:row>
      <xdr:rowOff>63102</xdr:rowOff>
    </xdr:from>
    <xdr:to>
      <xdr:col>5</xdr:col>
      <xdr:colOff>250031</xdr:colOff>
      <xdr:row>35</xdr:row>
      <xdr:rowOff>139302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A7669-55C8-B3CB-6DCB-9C303E1F4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762000</xdr:colOff>
      <xdr:row>20</xdr:row>
      <xdr:rowOff>158352</xdr:rowOff>
    </xdr:from>
    <xdr:to>
      <xdr:col>16</xdr:col>
      <xdr:colOff>488156</xdr:colOff>
      <xdr:row>35</xdr:row>
      <xdr:rowOff>44052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559D12-49C1-9918-428A-C174BFFDE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1738312</xdr:colOff>
      <xdr:row>19</xdr:row>
      <xdr:rowOff>71437</xdr:rowOff>
    </xdr:from>
    <xdr:to>
      <xdr:col>8</xdr:col>
      <xdr:colOff>14287</xdr:colOff>
      <xdr:row>33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35907F-BDB2-7296-06DA-3938A6025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71437</xdr:colOff>
      <xdr:row>19</xdr:row>
      <xdr:rowOff>52387</xdr:rowOff>
    </xdr:from>
    <xdr:to>
      <xdr:col>17</xdr:col>
      <xdr:colOff>376237</xdr:colOff>
      <xdr:row>33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5E894A-29C6-6A4F-DA53-BBE3C5F86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1909762</xdr:colOff>
      <xdr:row>19</xdr:row>
      <xdr:rowOff>138112</xdr:rowOff>
    </xdr:from>
    <xdr:to>
      <xdr:col>8</xdr:col>
      <xdr:colOff>223837</xdr:colOff>
      <xdr:row>34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12C289-82C3-11F8-2F42-01C3AB646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80962</xdr:colOff>
      <xdr:row>19</xdr:row>
      <xdr:rowOff>119062</xdr:rowOff>
    </xdr:from>
    <xdr:to>
      <xdr:col>17</xdr:col>
      <xdr:colOff>385762</xdr:colOff>
      <xdr:row>34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76462A-6891-7C85-3656-085B26491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176212</xdr:colOff>
      <xdr:row>20</xdr:row>
      <xdr:rowOff>4762</xdr:rowOff>
    </xdr:from>
    <xdr:to>
      <xdr:col>8</xdr:col>
      <xdr:colOff>481012</xdr:colOff>
      <xdr:row>34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145235-DFFD-FE6C-499D-2E65FA7FD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52387</xdr:colOff>
      <xdr:row>19</xdr:row>
      <xdr:rowOff>185737</xdr:rowOff>
    </xdr:from>
    <xdr:to>
      <xdr:col>17</xdr:col>
      <xdr:colOff>357187</xdr:colOff>
      <xdr:row>34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F8CD34-2468-2FF8-CCF3-8CB61ADC5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128587</xdr:colOff>
      <xdr:row>19</xdr:row>
      <xdr:rowOff>185737</xdr:rowOff>
    </xdr:from>
    <xdr:to>
      <xdr:col>8</xdr:col>
      <xdr:colOff>433387</xdr:colOff>
      <xdr:row>34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77E6A3-4EEA-6AAB-15AE-4897E52C6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61912</xdr:colOff>
      <xdr:row>19</xdr:row>
      <xdr:rowOff>166687</xdr:rowOff>
    </xdr:from>
    <xdr:to>
      <xdr:col>17</xdr:col>
      <xdr:colOff>366712</xdr:colOff>
      <xdr:row>34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7F4E7C-8A4F-C4BB-78D2-32D0F158A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1947862</xdr:colOff>
      <xdr:row>20</xdr:row>
      <xdr:rowOff>14287</xdr:rowOff>
    </xdr:from>
    <xdr:to>
      <xdr:col>8</xdr:col>
      <xdr:colOff>280987</xdr:colOff>
      <xdr:row>34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6C3054-7E1E-4EFB-A81C-832886BC2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14287</xdr:colOff>
      <xdr:row>19</xdr:row>
      <xdr:rowOff>176212</xdr:rowOff>
    </xdr:from>
    <xdr:to>
      <xdr:col>17</xdr:col>
      <xdr:colOff>319087</xdr:colOff>
      <xdr:row>34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1F4B9E-9F2B-1320-347A-83A10FE17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1938337</xdr:colOff>
      <xdr:row>20</xdr:row>
      <xdr:rowOff>100012</xdr:rowOff>
    </xdr:from>
    <xdr:to>
      <xdr:col>8</xdr:col>
      <xdr:colOff>223837</xdr:colOff>
      <xdr:row>34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0695A-D7E4-4FBF-A0F7-2F19EDFA1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</xdr:colOff>
      <xdr:row>20</xdr:row>
      <xdr:rowOff>90487</xdr:rowOff>
    </xdr:from>
    <xdr:to>
      <xdr:col>17</xdr:col>
      <xdr:colOff>309562</xdr:colOff>
      <xdr:row>34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60D556-BFC0-3AA5-0D2B-94AC9EED3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138112</xdr:colOff>
      <xdr:row>19</xdr:row>
      <xdr:rowOff>138112</xdr:rowOff>
    </xdr:from>
    <xdr:to>
      <xdr:col>9</xdr:col>
      <xdr:colOff>442912</xdr:colOff>
      <xdr:row>34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FD4F99-133B-DF96-F06F-71D17F85F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519112</xdr:colOff>
      <xdr:row>19</xdr:row>
      <xdr:rowOff>147637</xdr:rowOff>
    </xdr:from>
    <xdr:to>
      <xdr:col>18</xdr:col>
      <xdr:colOff>214312</xdr:colOff>
      <xdr:row>34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705969-C5FE-1113-96B8-DC52B0B0C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33337</xdr:rowOff>
    </xdr:from>
    <xdr:to>
      <xdr:col>8</xdr:col>
      <xdr:colOff>304800</xdr:colOff>
      <xdr:row>33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CEDEB8-5011-DD38-F60A-22AD5FFF1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309562</xdr:colOff>
      <xdr:row>19</xdr:row>
      <xdr:rowOff>90487</xdr:rowOff>
    </xdr:from>
    <xdr:to>
      <xdr:col>17</xdr:col>
      <xdr:colOff>4762</xdr:colOff>
      <xdr:row>33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B0ABEF-5D9C-9C1A-1E91-5154166A3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F01D-A299-43A6-A980-9C0A1F78140B}">
  <dimension ref="A1:R18"/>
  <sheetViews>
    <sheetView zoomScale="80" zoomScaleNormal="80" workbookViewId="0">
      <selection activeCell="S22" sqref="S22"/>
    </sheetView>
  </sheetViews>
  <sheetFormatPr defaultRowHeight="15"/>
  <cols>
    <col min="1" max="1" width="30.85546875" customWidth="1"/>
    <col min="2" max="2" width="21.7109375" customWidth="1"/>
    <col min="3" max="3" width="14.85546875" customWidth="1"/>
    <col min="4" max="4" width="15.5703125" customWidth="1"/>
    <col min="5" max="5" width="17.28515625" customWidth="1"/>
    <col min="6" max="6" width="14.42578125" customWidth="1"/>
    <col min="7" max="7" width="15.42578125" customWidth="1"/>
    <col min="8" max="8" width="14.5703125" customWidth="1"/>
    <col min="9" max="9" width="16.28515625" customWidth="1"/>
    <col min="11" max="11" width="12.140625" customWidth="1"/>
    <col min="12" max="12" width="13.28515625" customWidth="1"/>
    <col min="13" max="13" width="12.42578125" customWidth="1"/>
    <col min="14" max="14" width="10.42578125" customWidth="1"/>
    <col min="15" max="15" width="11" customWidth="1"/>
    <col min="16" max="16" width="13.42578125" customWidth="1"/>
    <col min="17" max="17" width="11.5703125" customWidth="1"/>
    <col min="18" max="18" width="12.85546875" customWidth="1"/>
  </cols>
  <sheetData>
    <row r="1" spans="1:18">
      <c r="B1" s="3" t="s">
        <v>0</v>
      </c>
      <c r="C1" s="3"/>
      <c r="D1" s="3"/>
      <c r="E1" s="3"/>
      <c r="F1" s="3"/>
      <c r="G1" s="3"/>
      <c r="H1" s="3"/>
      <c r="I1" s="3"/>
      <c r="K1" s="3" t="s">
        <v>1</v>
      </c>
      <c r="L1" s="3"/>
      <c r="M1" s="3"/>
      <c r="N1" s="3"/>
      <c r="O1" s="3"/>
      <c r="P1" s="3"/>
      <c r="Q1" s="3"/>
      <c r="R1" s="3"/>
    </row>
    <row r="2" spans="1:18">
      <c r="B2">
        <v>1985</v>
      </c>
      <c r="C2">
        <v>1990</v>
      </c>
      <c r="D2">
        <v>1995</v>
      </c>
      <c r="E2">
        <v>2000</v>
      </c>
      <c r="F2">
        <v>2005</v>
      </c>
      <c r="G2">
        <v>2010</v>
      </c>
      <c r="H2">
        <v>2015</v>
      </c>
      <c r="I2">
        <v>2020</v>
      </c>
      <c r="K2">
        <v>1985</v>
      </c>
      <c r="L2">
        <v>1990</v>
      </c>
      <c r="M2">
        <v>1995</v>
      </c>
      <c r="N2">
        <v>2000</v>
      </c>
      <c r="O2">
        <v>2005</v>
      </c>
      <c r="P2">
        <v>2010</v>
      </c>
      <c r="Q2">
        <v>2015</v>
      </c>
      <c r="R2">
        <v>2020</v>
      </c>
    </row>
    <row r="3" spans="1:18">
      <c r="A3" t="s">
        <v>2</v>
      </c>
      <c r="B3" s="1">
        <v>16588028</v>
      </c>
      <c r="C3">
        <v>15923213</v>
      </c>
      <c r="D3">
        <v>15875959</v>
      </c>
      <c r="E3">
        <v>14070149</v>
      </c>
      <c r="F3">
        <v>14201187</v>
      </c>
      <c r="G3">
        <v>14254970</v>
      </c>
      <c r="H3">
        <v>13868350</v>
      </c>
      <c r="I3">
        <v>13275025</v>
      </c>
      <c r="K3" s="1">
        <v>3616</v>
      </c>
      <c r="L3" s="1">
        <v>3459</v>
      </c>
      <c r="M3" s="1">
        <v>3459</v>
      </c>
      <c r="N3" s="1">
        <v>3252</v>
      </c>
      <c r="O3" s="1">
        <v>3203</v>
      </c>
      <c r="P3" s="1">
        <v>3442</v>
      </c>
      <c r="Q3" s="1">
        <v>3238</v>
      </c>
      <c r="R3" s="1">
        <v>3293</v>
      </c>
    </row>
    <row r="4" spans="1:18">
      <c r="A4" t="s">
        <v>3</v>
      </c>
      <c r="B4">
        <v>1105</v>
      </c>
      <c r="C4">
        <v>487</v>
      </c>
      <c r="D4">
        <v>487</v>
      </c>
      <c r="F4">
        <v>17</v>
      </c>
      <c r="H4">
        <v>46</v>
      </c>
      <c r="I4">
        <v>39</v>
      </c>
      <c r="K4" s="1"/>
      <c r="L4" s="1"/>
      <c r="M4" s="1"/>
      <c r="N4" s="1"/>
      <c r="O4" s="1"/>
      <c r="P4" s="1"/>
      <c r="Q4" s="1"/>
      <c r="R4" s="1"/>
    </row>
    <row r="5" spans="1:18">
      <c r="A5" t="s">
        <v>4</v>
      </c>
      <c r="B5">
        <v>3058</v>
      </c>
      <c r="C5">
        <v>3149</v>
      </c>
      <c r="D5">
        <v>3172</v>
      </c>
      <c r="E5">
        <v>2819</v>
      </c>
      <c r="F5">
        <v>2523</v>
      </c>
      <c r="G5">
        <v>2600</v>
      </c>
      <c r="H5">
        <v>2311</v>
      </c>
      <c r="I5">
        <v>2631</v>
      </c>
      <c r="K5" s="1"/>
      <c r="L5" s="1"/>
      <c r="M5" s="1"/>
      <c r="N5" s="1"/>
      <c r="O5" s="1"/>
      <c r="P5" s="1"/>
      <c r="Q5" s="1"/>
      <c r="R5" s="1"/>
    </row>
    <row r="6" spans="1:18">
      <c r="A6" t="s">
        <v>5</v>
      </c>
      <c r="B6">
        <v>40925</v>
      </c>
      <c r="C6">
        <v>40541</v>
      </c>
      <c r="D6">
        <v>39650</v>
      </c>
      <c r="E6">
        <v>39180</v>
      </c>
      <c r="F6">
        <v>39291</v>
      </c>
      <c r="G6">
        <v>37922</v>
      </c>
      <c r="H6">
        <v>39061</v>
      </c>
      <c r="I6">
        <v>37451</v>
      </c>
      <c r="K6" s="1"/>
      <c r="L6" s="1"/>
      <c r="M6" s="1"/>
      <c r="N6" s="1"/>
      <c r="O6" s="1"/>
      <c r="P6" s="1"/>
      <c r="Q6" s="1"/>
      <c r="R6" s="1"/>
    </row>
    <row r="7" spans="1:18">
      <c r="A7" t="s">
        <v>6</v>
      </c>
      <c r="B7">
        <v>193411</v>
      </c>
      <c r="C7">
        <v>193809</v>
      </c>
      <c r="D7">
        <v>197413</v>
      </c>
      <c r="E7">
        <v>184287</v>
      </c>
      <c r="F7">
        <v>171578</v>
      </c>
      <c r="G7">
        <v>188777</v>
      </c>
      <c r="H7">
        <v>185806</v>
      </c>
      <c r="I7">
        <v>197536</v>
      </c>
      <c r="K7" s="1"/>
      <c r="L7" s="1"/>
      <c r="M7" s="1"/>
      <c r="N7" s="1"/>
      <c r="O7" s="1"/>
      <c r="P7" s="1"/>
      <c r="Q7" s="1"/>
      <c r="R7" s="1"/>
    </row>
    <row r="8" spans="1:18">
      <c r="A8" t="s">
        <v>7</v>
      </c>
      <c r="B8">
        <v>2561541</v>
      </c>
      <c r="C8">
        <v>3253606</v>
      </c>
      <c r="D8">
        <v>3259255</v>
      </c>
      <c r="E8">
        <v>5299932</v>
      </c>
      <c r="F8">
        <v>5187008</v>
      </c>
      <c r="G8">
        <v>5132015</v>
      </c>
      <c r="H8">
        <v>5486456</v>
      </c>
      <c r="I8">
        <v>6028842</v>
      </c>
      <c r="K8" s="1">
        <v>55</v>
      </c>
      <c r="L8" s="1">
        <v>209</v>
      </c>
      <c r="M8" s="1">
        <v>209</v>
      </c>
      <c r="N8" s="1">
        <v>431</v>
      </c>
      <c r="O8" s="1">
        <v>496</v>
      </c>
      <c r="P8" s="1">
        <v>241</v>
      </c>
      <c r="Q8" s="1">
        <v>408</v>
      </c>
      <c r="R8" s="1">
        <v>345</v>
      </c>
    </row>
    <row r="9" spans="1:18">
      <c r="A9" t="s">
        <v>8</v>
      </c>
      <c r="B9">
        <v>32305</v>
      </c>
      <c r="C9">
        <v>39861</v>
      </c>
      <c r="D9">
        <v>39953</v>
      </c>
      <c r="E9">
        <v>49222</v>
      </c>
      <c r="F9">
        <v>60421</v>
      </c>
      <c r="G9">
        <v>75361</v>
      </c>
      <c r="H9">
        <v>86107</v>
      </c>
      <c r="I9">
        <v>98155</v>
      </c>
      <c r="K9" s="1"/>
      <c r="L9" s="1"/>
      <c r="M9" s="1"/>
      <c r="N9" s="1"/>
      <c r="O9" s="1"/>
      <c r="P9" s="1"/>
      <c r="Q9" s="1"/>
      <c r="R9" s="1"/>
    </row>
    <row r="10" spans="1:18">
      <c r="A10" t="s">
        <v>9</v>
      </c>
      <c r="B10">
        <v>244988</v>
      </c>
      <c r="C10">
        <v>289417</v>
      </c>
      <c r="D10">
        <v>323146</v>
      </c>
      <c r="E10">
        <v>98926</v>
      </c>
      <c r="F10">
        <v>91777</v>
      </c>
      <c r="G10">
        <v>78367</v>
      </c>
      <c r="H10">
        <v>87601</v>
      </c>
      <c r="I10">
        <v>107541</v>
      </c>
      <c r="K10" s="1">
        <v>27</v>
      </c>
      <c r="L10" s="1">
        <v>9</v>
      </c>
      <c r="M10" s="1">
        <v>9</v>
      </c>
      <c r="N10" s="1"/>
      <c r="O10" s="1">
        <v>4</v>
      </c>
      <c r="P10" s="1">
        <v>13</v>
      </c>
      <c r="Q10" s="1">
        <v>10</v>
      </c>
      <c r="R10" s="1">
        <v>4</v>
      </c>
    </row>
    <row r="11" spans="1:18">
      <c r="A11" t="s">
        <v>10</v>
      </c>
      <c r="B11">
        <v>50809</v>
      </c>
      <c r="C11">
        <v>51128</v>
      </c>
      <c r="D11">
        <v>51144</v>
      </c>
      <c r="E11">
        <v>51070</v>
      </c>
      <c r="F11">
        <v>51098</v>
      </c>
      <c r="G11">
        <v>51108</v>
      </c>
      <c r="H11">
        <v>51086</v>
      </c>
      <c r="I11">
        <v>51122</v>
      </c>
      <c r="K11" s="1"/>
      <c r="L11" s="1"/>
      <c r="M11" s="1"/>
      <c r="N11" s="1"/>
      <c r="O11" s="1"/>
      <c r="P11" s="1"/>
      <c r="Q11" s="1"/>
      <c r="R11" s="1"/>
    </row>
    <row r="12" spans="1:18">
      <c r="A12" t="s">
        <v>11</v>
      </c>
      <c r="B12">
        <v>208235</v>
      </c>
      <c r="C12">
        <v>227171</v>
      </c>
      <c r="D12">
        <v>232203</v>
      </c>
      <c r="E12">
        <v>226473</v>
      </c>
      <c r="F12">
        <v>217300</v>
      </c>
      <c r="G12">
        <v>200916</v>
      </c>
      <c r="H12">
        <v>215069</v>
      </c>
      <c r="I12">
        <v>220682</v>
      </c>
      <c r="K12" s="1">
        <v>121</v>
      </c>
      <c r="L12" s="1">
        <v>168</v>
      </c>
      <c r="M12" s="1">
        <v>168</v>
      </c>
      <c r="N12" s="1">
        <v>162</v>
      </c>
      <c r="O12" s="1">
        <v>142</v>
      </c>
      <c r="P12" s="1">
        <v>149</v>
      </c>
      <c r="Q12" s="1">
        <v>189</v>
      </c>
      <c r="R12" s="1">
        <v>203</v>
      </c>
    </row>
    <row r="13" spans="1:18">
      <c r="A13" t="s">
        <v>12</v>
      </c>
      <c r="E13">
        <v>324</v>
      </c>
      <c r="F13">
        <v>182</v>
      </c>
      <c r="G13">
        <v>346</v>
      </c>
      <c r="H13">
        <v>489</v>
      </c>
      <c r="I13">
        <v>3358</v>
      </c>
      <c r="K13" s="1"/>
      <c r="L13" s="1"/>
      <c r="M13" s="1"/>
      <c r="N13" s="1"/>
      <c r="O13" s="1"/>
      <c r="P13" s="1"/>
      <c r="Q13" s="1"/>
      <c r="R13" s="1"/>
    </row>
    <row r="14" spans="1:18">
      <c r="A14" t="s">
        <v>13</v>
      </c>
      <c r="B14" s="1">
        <f>SUM(B3:B13)</f>
        <v>19924405</v>
      </c>
      <c r="C14" s="1">
        <f t="shared" ref="C14:R14" si="0">SUM(C3:C13)</f>
        <v>20022382</v>
      </c>
      <c r="D14" s="1">
        <f t="shared" si="0"/>
        <v>20022382</v>
      </c>
      <c r="E14" s="1">
        <f t="shared" si="0"/>
        <v>20022382</v>
      </c>
      <c r="F14" s="1">
        <f t="shared" si="0"/>
        <v>20022382</v>
      </c>
      <c r="G14" s="1">
        <f t="shared" si="0"/>
        <v>20022382</v>
      </c>
      <c r="H14" s="1">
        <f t="shared" si="0"/>
        <v>20022382</v>
      </c>
      <c r="I14" s="1">
        <f t="shared" si="0"/>
        <v>20022382</v>
      </c>
      <c r="J14" s="1"/>
      <c r="K14" s="1">
        <f t="shared" si="0"/>
        <v>3819</v>
      </c>
      <c r="L14" s="1">
        <f t="shared" si="0"/>
        <v>3845</v>
      </c>
      <c r="M14" s="1">
        <f t="shared" si="0"/>
        <v>3845</v>
      </c>
      <c r="N14" s="1">
        <f t="shared" si="0"/>
        <v>3845</v>
      </c>
      <c r="O14" s="1">
        <f t="shared" si="0"/>
        <v>3845</v>
      </c>
      <c r="P14" s="1">
        <f t="shared" si="0"/>
        <v>3845</v>
      </c>
      <c r="Q14" s="1">
        <f t="shared" si="0"/>
        <v>3845</v>
      </c>
      <c r="R14" s="1">
        <f t="shared" si="0"/>
        <v>3845</v>
      </c>
    </row>
    <row r="15" spans="1:18">
      <c r="A15" t="s">
        <v>14</v>
      </c>
      <c r="B15" s="1">
        <f>SUM(B3,B4,B5,B6,B7)</f>
        <v>16826527</v>
      </c>
      <c r="C15" s="1">
        <f t="shared" ref="C15:R15" si="1">SUM(C3,C4,C5,C6,C7)</f>
        <v>16161199</v>
      </c>
      <c r="D15" s="1">
        <f t="shared" si="1"/>
        <v>16116681</v>
      </c>
      <c r="E15" s="1">
        <f t="shared" si="1"/>
        <v>14296435</v>
      </c>
      <c r="F15" s="1">
        <f t="shared" si="1"/>
        <v>14414596</v>
      </c>
      <c r="G15" s="1">
        <f t="shared" si="1"/>
        <v>14484269</v>
      </c>
      <c r="H15" s="1">
        <f t="shared" si="1"/>
        <v>14095574</v>
      </c>
      <c r="I15" s="1">
        <f t="shared" si="1"/>
        <v>13512682</v>
      </c>
      <c r="J15" s="1"/>
      <c r="K15" s="1">
        <f t="shared" si="1"/>
        <v>3616</v>
      </c>
      <c r="L15" s="1">
        <f t="shared" si="1"/>
        <v>3459</v>
      </c>
      <c r="M15" s="1">
        <f t="shared" si="1"/>
        <v>3459</v>
      </c>
      <c r="N15" s="1">
        <f t="shared" si="1"/>
        <v>3252</v>
      </c>
      <c r="O15" s="1">
        <f t="shared" si="1"/>
        <v>3203</v>
      </c>
      <c r="P15" s="1">
        <f t="shared" si="1"/>
        <v>3442</v>
      </c>
      <c r="Q15" s="1">
        <f t="shared" si="1"/>
        <v>3238</v>
      </c>
      <c r="R15" s="1">
        <f t="shared" si="1"/>
        <v>3293</v>
      </c>
    </row>
    <row r="16" spans="1:18">
      <c r="A16" t="s">
        <v>15</v>
      </c>
      <c r="B16">
        <f>SUM(B8:B9,B13)</f>
        <v>2593846</v>
      </c>
      <c r="C16">
        <f t="shared" ref="C16:R16" si="2">SUM(C8:C9,C13)</f>
        <v>3293467</v>
      </c>
      <c r="D16">
        <f t="shared" si="2"/>
        <v>3299208</v>
      </c>
      <c r="E16">
        <f t="shared" si="2"/>
        <v>5349478</v>
      </c>
      <c r="F16">
        <f t="shared" si="2"/>
        <v>5247611</v>
      </c>
      <c r="G16">
        <f t="shared" si="2"/>
        <v>5207722</v>
      </c>
      <c r="H16">
        <f t="shared" si="2"/>
        <v>5573052</v>
      </c>
      <c r="I16">
        <f t="shared" si="2"/>
        <v>6130355</v>
      </c>
      <c r="K16">
        <f t="shared" si="2"/>
        <v>55</v>
      </c>
      <c r="L16">
        <f t="shared" si="2"/>
        <v>209</v>
      </c>
      <c r="M16">
        <f t="shared" si="2"/>
        <v>209</v>
      </c>
      <c r="N16">
        <f t="shared" si="2"/>
        <v>431</v>
      </c>
      <c r="O16">
        <f t="shared" si="2"/>
        <v>496</v>
      </c>
      <c r="P16">
        <f t="shared" si="2"/>
        <v>241</v>
      </c>
      <c r="Q16">
        <f t="shared" si="2"/>
        <v>408</v>
      </c>
      <c r="R16">
        <f t="shared" si="2"/>
        <v>345</v>
      </c>
    </row>
    <row r="17" spans="1:18">
      <c r="A17" t="s">
        <v>16</v>
      </c>
      <c r="B17" s="2">
        <f>(B15/B14)*100</f>
        <v>84.451841849229623</v>
      </c>
      <c r="C17" s="2">
        <f t="shared" ref="C17:R17" si="3">(C15/C14)*100</f>
        <v>80.715666098069647</v>
      </c>
      <c r="D17" s="2">
        <f t="shared" si="3"/>
        <v>80.493324920081932</v>
      </c>
      <c r="E17" s="2">
        <f t="shared" si="3"/>
        <v>71.40226872107425</v>
      </c>
      <c r="F17" s="2">
        <f t="shared" si="3"/>
        <v>71.992413290286834</v>
      </c>
      <c r="G17" s="2">
        <f t="shared" si="3"/>
        <v>72.340388870814678</v>
      </c>
      <c r="H17" s="2">
        <f t="shared" si="3"/>
        <v>70.399086382429417</v>
      </c>
      <c r="I17" s="2">
        <f t="shared" si="3"/>
        <v>67.487884308670161</v>
      </c>
      <c r="J17" s="2"/>
      <c r="K17" s="2">
        <f t="shared" si="3"/>
        <v>94.684472374967271</v>
      </c>
      <c r="L17" s="2">
        <f t="shared" si="3"/>
        <v>89.960988296488935</v>
      </c>
      <c r="M17" s="2">
        <f t="shared" si="3"/>
        <v>89.960988296488935</v>
      </c>
      <c r="N17" s="2">
        <f t="shared" si="3"/>
        <v>84.577373211963589</v>
      </c>
      <c r="O17" s="2">
        <f t="shared" si="3"/>
        <v>83.302990897269183</v>
      </c>
      <c r="P17" s="2">
        <f t="shared" si="3"/>
        <v>89.518855656696999</v>
      </c>
      <c r="Q17" s="2">
        <f t="shared" si="3"/>
        <v>84.213263979193755</v>
      </c>
      <c r="R17" s="2">
        <f t="shared" si="3"/>
        <v>85.643693107932378</v>
      </c>
    </row>
    <row r="18" spans="1:18">
      <c r="A18" t="s">
        <v>17</v>
      </c>
      <c r="B18">
        <f>(B16/B14)*100</f>
        <v>13.01843643511563</v>
      </c>
      <c r="C18">
        <f t="shared" ref="C18:R18" si="4">(C16/C14)*100</f>
        <v>16.448927005787823</v>
      </c>
      <c r="D18">
        <f t="shared" si="4"/>
        <v>16.477599917931844</v>
      </c>
      <c r="E18">
        <f t="shared" si="4"/>
        <v>26.717490456430209</v>
      </c>
      <c r="F18">
        <f t="shared" si="4"/>
        <v>26.20872481605835</v>
      </c>
      <c r="G18">
        <f t="shared" si="4"/>
        <v>26.009502765455178</v>
      </c>
      <c r="H18">
        <f t="shared" si="4"/>
        <v>27.834110846551624</v>
      </c>
      <c r="I18">
        <f t="shared" si="4"/>
        <v>30.617510943503124</v>
      </c>
      <c r="K18">
        <f t="shared" si="4"/>
        <v>1.4401675831369469</v>
      </c>
      <c r="L18">
        <f t="shared" si="4"/>
        <v>5.4356306892067625</v>
      </c>
      <c r="M18">
        <f t="shared" si="4"/>
        <v>5.4356306892067625</v>
      </c>
      <c r="N18">
        <f t="shared" si="4"/>
        <v>11.209362808842654</v>
      </c>
      <c r="O18">
        <f t="shared" si="4"/>
        <v>12.899869960988298</v>
      </c>
      <c r="P18">
        <f t="shared" si="4"/>
        <v>6.2678803641092324</v>
      </c>
      <c r="Q18">
        <f t="shared" si="4"/>
        <v>10.611183355006503</v>
      </c>
      <c r="R18">
        <f t="shared" si="4"/>
        <v>8.9726918075422635</v>
      </c>
    </row>
  </sheetData>
  <mergeCells count="2">
    <mergeCell ref="B1:I1"/>
    <mergeCell ref="K1:R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C9CA9-C342-41FB-A4F1-1EB0BDFAEB18}">
  <dimension ref="A1:R18"/>
  <sheetViews>
    <sheetView workbookViewId="0">
      <selection activeCell="T24" sqref="T24"/>
    </sheetView>
  </sheetViews>
  <sheetFormatPr defaultRowHeight="15"/>
  <cols>
    <col min="1" max="1" width="30.42578125" customWidth="1"/>
  </cols>
  <sheetData>
    <row r="1" spans="1:18">
      <c r="B1" s="3" t="s">
        <v>0</v>
      </c>
      <c r="C1" s="3"/>
      <c r="D1" s="3"/>
      <c r="E1" s="3"/>
      <c r="F1" s="3"/>
      <c r="G1" s="3"/>
      <c r="H1" s="3"/>
      <c r="I1" s="3"/>
      <c r="K1" s="3" t="s">
        <v>1</v>
      </c>
      <c r="L1" s="3"/>
      <c r="M1" s="3"/>
      <c r="N1" s="3"/>
      <c r="O1" s="3"/>
      <c r="P1" s="3"/>
      <c r="Q1" s="3"/>
      <c r="R1" s="3"/>
    </row>
    <row r="2" spans="1:18">
      <c r="B2">
        <v>1985</v>
      </c>
      <c r="C2">
        <v>1990</v>
      </c>
      <c r="D2">
        <v>1995</v>
      </c>
      <c r="E2">
        <v>2000</v>
      </c>
      <c r="F2">
        <v>2005</v>
      </c>
      <c r="G2">
        <v>2010</v>
      </c>
      <c r="H2">
        <v>2015</v>
      </c>
      <c r="I2">
        <v>2020</v>
      </c>
      <c r="K2">
        <v>1985</v>
      </c>
      <c r="L2">
        <v>1990</v>
      </c>
      <c r="M2">
        <v>1995</v>
      </c>
      <c r="N2">
        <v>2000</v>
      </c>
      <c r="O2">
        <v>2005</v>
      </c>
      <c r="P2">
        <v>2010</v>
      </c>
      <c r="Q2">
        <v>2015</v>
      </c>
      <c r="R2">
        <v>2020</v>
      </c>
    </row>
    <row r="3" spans="1:18">
      <c r="A3" t="s">
        <v>2</v>
      </c>
      <c r="B3">
        <v>19087177</v>
      </c>
      <c r="C3">
        <v>18517603</v>
      </c>
      <c r="D3">
        <v>18466294</v>
      </c>
      <c r="E3">
        <v>16187216</v>
      </c>
      <c r="F3">
        <v>16324153</v>
      </c>
      <c r="G3">
        <v>16273067</v>
      </c>
      <c r="H3">
        <v>15907674</v>
      </c>
      <c r="I3">
        <v>15331564</v>
      </c>
      <c r="K3">
        <v>62379</v>
      </c>
      <c r="L3">
        <v>60799</v>
      </c>
      <c r="M3">
        <v>60799</v>
      </c>
      <c r="N3">
        <v>58752</v>
      </c>
      <c r="O3">
        <v>59223</v>
      </c>
      <c r="P3">
        <v>59113</v>
      </c>
      <c r="Q3">
        <v>57673</v>
      </c>
      <c r="R3">
        <v>52069</v>
      </c>
    </row>
    <row r="4" spans="1:18">
      <c r="A4" t="s">
        <v>3</v>
      </c>
      <c r="B4">
        <v>4921</v>
      </c>
      <c r="C4">
        <v>1676</v>
      </c>
      <c r="D4">
        <v>1676</v>
      </c>
      <c r="E4">
        <v>2160</v>
      </c>
      <c r="F4">
        <v>6770</v>
      </c>
      <c r="G4">
        <v>5141</v>
      </c>
      <c r="H4">
        <v>22080</v>
      </c>
      <c r="I4">
        <v>16913</v>
      </c>
    </row>
    <row r="5" spans="1:18">
      <c r="A5" t="s">
        <v>4</v>
      </c>
      <c r="B5">
        <v>5081</v>
      </c>
      <c r="C5">
        <v>7178</v>
      </c>
      <c r="D5">
        <v>7178</v>
      </c>
      <c r="E5">
        <v>7140</v>
      </c>
      <c r="F5">
        <v>5762</v>
      </c>
      <c r="G5">
        <v>6232</v>
      </c>
      <c r="H5">
        <v>5311</v>
      </c>
      <c r="I5">
        <v>6177</v>
      </c>
      <c r="K5">
        <v>966</v>
      </c>
      <c r="L5">
        <v>1060</v>
      </c>
      <c r="M5">
        <v>1060</v>
      </c>
      <c r="N5">
        <v>799</v>
      </c>
      <c r="O5">
        <v>813</v>
      </c>
      <c r="P5">
        <v>886</v>
      </c>
      <c r="Q5">
        <v>729</v>
      </c>
      <c r="R5">
        <v>841</v>
      </c>
    </row>
    <row r="6" spans="1:18">
      <c r="A6" t="s">
        <v>5</v>
      </c>
      <c r="B6">
        <v>2047</v>
      </c>
      <c r="C6">
        <v>2050</v>
      </c>
      <c r="D6">
        <v>2081</v>
      </c>
      <c r="E6">
        <v>1038</v>
      </c>
      <c r="F6">
        <v>580</v>
      </c>
      <c r="G6">
        <v>515</v>
      </c>
      <c r="H6">
        <v>584</v>
      </c>
      <c r="I6">
        <v>477</v>
      </c>
    </row>
    <row r="7" spans="1:18">
      <c r="A7" t="s">
        <v>6</v>
      </c>
      <c r="B7">
        <v>77967</v>
      </c>
      <c r="C7">
        <v>82191</v>
      </c>
      <c r="D7">
        <v>83138</v>
      </c>
      <c r="E7">
        <v>65893</v>
      </c>
      <c r="F7">
        <v>59898</v>
      </c>
      <c r="G7">
        <v>65881</v>
      </c>
      <c r="H7">
        <v>66689</v>
      </c>
      <c r="I7">
        <v>67148</v>
      </c>
    </row>
    <row r="8" spans="1:18">
      <c r="A8" t="s">
        <v>7</v>
      </c>
      <c r="B8">
        <v>2468744</v>
      </c>
      <c r="C8">
        <v>3085789</v>
      </c>
      <c r="D8">
        <v>3108094</v>
      </c>
      <c r="E8">
        <v>5692284</v>
      </c>
      <c r="F8">
        <v>5566079</v>
      </c>
      <c r="G8">
        <v>5623949</v>
      </c>
      <c r="H8">
        <v>5930701</v>
      </c>
      <c r="I8">
        <v>6455089</v>
      </c>
      <c r="K8">
        <v>1237</v>
      </c>
      <c r="L8">
        <v>2765</v>
      </c>
      <c r="M8">
        <v>2765</v>
      </c>
      <c r="N8">
        <v>5394</v>
      </c>
      <c r="O8">
        <v>4964</v>
      </c>
      <c r="P8">
        <v>5071</v>
      </c>
      <c r="Q8">
        <v>6668</v>
      </c>
      <c r="R8">
        <v>11941</v>
      </c>
    </row>
    <row r="9" spans="1:18">
      <c r="A9" t="s">
        <v>8</v>
      </c>
      <c r="B9">
        <v>43960</v>
      </c>
      <c r="C9">
        <v>56919</v>
      </c>
      <c r="D9">
        <v>56988</v>
      </c>
      <c r="E9">
        <v>67297</v>
      </c>
      <c r="F9">
        <v>84942</v>
      </c>
      <c r="G9">
        <v>107945</v>
      </c>
      <c r="H9">
        <v>122997</v>
      </c>
      <c r="I9">
        <v>142296</v>
      </c>
      <c r="L9">
        <v>78</v>
      </c>
      <c r="M9">
        <v>78</v>
      </c>
      <c r="N9">
        <v>9</v>
      </c>
      <c r="O9">
        <v>15</v>
      </c>
      <c r="P9">
        <v>25</v>
      </c>
      <c r="Q9">
        <v>31</v>
      </c>
      <c r="R9">
        <v>31</v>
      </c>
    </row>
    <row r="10" spans="1:18">
      <c r="A10" t="s">
        <v>9</v>
      </c>
      <c r="B10">
        <v>355022</v>
      </c>
      <c r="C10">
        <v>371458</v>
      </c>
      <c r="D10">
        <v>398481</v>
      </c>
      <c r="E10">
        <v>96390</v>
      </c>
      <c r="F10">
        <v>78770</v>
      </c>
      <c r="G10">
        <v>60521</v>
      </c>
      <c r="H10">
        <v>72667</v>
      </c>
      <c r="I10">
        <v>100008</v>
      </c>
      <c r="K10">
        <v>160</v>
      </c>
      <c r="L10">
        <v>293</v>
      </c>
      <c r="M10">
        <v>293</v>
      </c>
      <c r="N10">
        <v>80</v>
      </c>
      <c r="O10">
        <v>65</v>
      </c>
      <c r="P10">
        <v>28</v>
      </c>
      <c r="Q10">
        <v>19</v>
      </c>
      <c r="R10">
        <v>44</v>
      </c>
    </row>
    <row r="11" spans="1:18">
      <c r="A11" t="s">
        <v>10</v>
      </c>
      <c r="B11">
        <v>31858</v>
      </c>
      <c r="C11">
        <v>32079</v>
      </c>
      <c r="D11">
        <v>32087</v>
      </c>
      <c r="E11">
        <v>32052</v>
      </c>
      <c r="F11">
        <v>32078</v>
      </c>
      <c r="G11">
        <v>32082</v>
      </c>
      <c r="H11">
        <v>32070</v>
      </c>
      <c r="I11">
        <v>32101</v>
      </c>
    </row>
    <row r="12" spans="1:18">
      <c r="A12" t="s">
        <v>11</v>
      </c>
      <c r="B12">
        <v>290376</v>
      </c>
      <c r="C12">
        <v>320287</v>
      </c>
      <c r="D12">
        <v>321213</v>
      </c>
      <c r="E12">
        <v>325436</v>
      </c>
      <c r="F12">
        <v>317970</v>
      </c>
      <c r="G12">
        <v>301529</v>
      </c>
      <c r="H12">
        <v>315953</v>
      </c>
      <c r="I12">
        <v>322035</v>
      </c>
      <c r="K12">
        <v>71</v>
      </c>
      <c r="L12">
        <v>131</v>
      </c>
      <c r="M12">
        <v>131</v>
      </c>
      <c r="N12">
        <v>92</v>
      </c>
      <c r="O12">
        <v>46</v>
      </c>
      <c r="P12">
        <v>3</v>
      </c>
      <c r="Q12">
        <v>6</v>
      </c>
      <c r="R12">
        <v>200</v>
      </c>
    </row>
    <row r="13" spans="1:18">
      <c r="A13" t="s">
        <v>12</v>
      </c>
      <c r="E13">
        <v>324</v>
      </c>
      <c r="F13">
        <v>228</v>
      </c>
      <c r="G13">
        <v>368</v>
      </c>
      <c r="H13">
        <v>504</v>
      </c>
      <c r="I13">
        <v>3422</v>
      </c>
    </row>
    <row r="14" spans="1:18">
      <c r="A14" t="s">
        <v>13</v>
      </c>
      <c r="B14">
        <f>SUM(B3:B13)</f>
        <v>22367153</v>
      </c>
      <c r="C14">
        <f t="shared" ref="C14:I14" si="0">SUM(C3:C13)</f>
        <v>22477230</v>
      </c>
      <c r="D14">
        <f t="shared" si="0"/>
        <v>22477230</v>
      </c>
      <c r="E14">
        <f t="shared" si="0"/>
        <v>22477230</v>
      </c>
      <c r="F14">
        <f t="shared" si="0"/>
        <v>22477230</v>
      </c>
      <c r="G14">
        <f t="shared" si="0"/>
        <v>22477230</v>
      </c>
      <c r="H14">
        <f t="shared" si="0"/>
        <v>22477230</v>
      </c>
      <c r="I14">
        <f t="shared" si="0"/>
        <v>22477230</v>
      </c>
      <c r="K14">
        <f t="shared" ref="K14" si="1">SUM(K3:K13)</f>
        <v>64813</v>
      </c>
      <c r="L14">
        <f t="shared" ref="L14" si="2">SUM(L3:L13)</f>
        <v>65126</v>
      </c>
      <c r="M14">
        <f t="shared" ref="M14" si="3">SUM(M3:M13)</f>
        <v>65126</v>
      </c>
      <c r="N14">
        <f t="shared" ref="N14" si="4">SUM(N3:N13)</f>
        <v>65126</v>
      </c>
      <c r="O14">
        <f t="shared" ref="O14" si="5">SUM(O3:O13)</f>
        <v>65126</v>
      </c>
      <c r="P14">
        <f t="shared" ref="P14" si="6">SUM(P3:P13)</f>
        <v>65126</v>
      </c>
      <c r="Q14">
        <f t="shared" ref="Q14" si="7">SUM(Q3:Q13)</f>
        <v>65126</v>
      </c>
      <c r="R14">
        <f t="shared" ref="R14" si="8">SUM(R3:R13)</f>
        <v>65126</v>
      </c>
    </row>
    <row r="15" spans="1:18">
      <c r="A15" t="s">
        <v>14</v>
      </c>
      <c r="B15">
        <f>SUM(B3:B7)</f>
        <v>19177193</v>
      </c>
      <c r="C15">
        <f t="shared" ref="C15:R15" si="9">SUM(C3:C7)</f>
        <v>18610698</v>
      </c>
      <c r="D15">
        <f t="shared" si="9"/>
        <v>18560367</v>
      </c>
      <c r="E15">
        <f t="shared" si="9"/>
        <v>16263447</v>
      </c>
      <c r="F15">
        <f t="shared" si="9"/>
        <v>16397163</v>
      </c>
      <c r="G15">
        <f t="shared" si="9"/>
        <v>16350836</v>
      </c>
      <c r="H15">
        <f t="shared" si="9"/>
        <v>16002338</v>
      </c>
      <c r="I15">
        <f t="shared" si="9"/>
        <v>15422279</v>
      </c>
      <c r="K15">
        <f t="shared" si="9"/>
        <v>63345</v>
      </c>
      <c r="L15">
        <f t="shared" si="9"/>
        <v>61859</v>
      </c>
      <c r="M15">
        <f t="shared" si="9"/>
        <v>61859</v>
      </c>
      <c r="N15">
        <f t="shared" si="9"/>
        <v>59551</v>
      </c>
      <c r="O15">
        <f t="shared" si="9"/>
        <v>60036</v>
      </c>
      <c r="P15">
        <f t="shared" si="9"/>
        <v>59999</v>
      </c>
      <c r="Q15">
        <f t="shared" si="9"/>
        <v>58402</v>
      </c>
      <c r="R15">
        <f t="shared" si="9"/>
        <v>52910</v>
      </c>
    </row>
    <row r="16" spans="1:18">
      <c r="A16" t="s">
        <v>15</v>
      </c>
      <c r="B16">
        <f>SUM(B8:B10,B13)</f>
        <v>2867726</v>
      </c>
      <c r="C16">
        <f t="shared" ref="C16:R16" si="10">SUM(C8:C10,C13)</f>
        <v>3514166</v>
      </c>
      <c r="D16">
        <f t="shared" si="10"/>
        <v>3563563</v>
      </c>
      <c r="E16">
        <f t="shared" si="10"/>
        <v>5856295</v>
      </c>
      <c r="F16">
        <f t="shared" si="10"/>
        <v>5730019</v>
      </c>
      <c r="G16">
        <f t="shared" si="10"/>
        <v>5792783</v>
      </c>
      <c r="H16">
        <f t="shared" si="10"/>
        <v>6126869</v>
      </c>
      <c r="I16">
        <f t="shared" si="10"/>
        <v>6700815</v>
      </c>
      <c r="K16">
        <f t="shared" si="10"/>
        <v>1397</v>
      </c>
      <c r="L16">
        <f t="shared" si="10"/>
        <v>3136</v>
      </c>
      <c r="M16">
        <f t="shared" si="10"/>
        <v>3136</v>
      </c>
      <c r="N16">
        <f t="shared" si="10"/>
        <v>5483</v>
      </c>
      <c r="O16">
        <f t="shared" si="10"/>
        <v>5044</v>
      </c>
      <c r="P16">
        <f t="shared" si="10"/>
        <v>5124</v>
      </c>
      <c r="Q16">
        <f t="shared" si="10"/>
        <v>6718</v>
      </c>
      <c r="R16">
        <f t="shared" si="10"/>
        <v>12016</v>
      </c>
    </row>
    <row r="17" spans="1:18">
      <c r="A17" t="s">
        <v>16</v>
      </c>
      <c r="B17">
        <f>(B15/B14)*100</f>
        <v>85.738193859540374</v>
      </c>
      <c r="C17">
        <f t="shared" ref="C17:R17" si="11">(C15/C14)*100</f>
        <v>82.798004914306617</v>
      </c>
      <c r="D17">
        <f t="shared" si="11"/>
        <v>82.574084973993678</v>
      </c>
      <c r="E17">
        <f t="shared" si="11"/>
        <v>72.355210139327667</v>
      </c>
      <c r="F17">
        <f t="shared" si="11"/>
        <v>72.950105506772857</v>
      </c>
      <c r="G17">
        <f t="shared" si="11"/>
        <v>72.743999149361372</v>
      </c>
      <c r="H17">
        <f t="shared" si="11"/>
        <v>71.19355009491828</v>
      </c>
      <c r="I17">
        <f t="shared" si="11"/>
        <v>68.612898475479412</v>
      </c>
      <c r="K17">
        <f t="shared" si="11"/>
        <v>97.735022294909967</v>
      </c>
      <c r="L17">
        <f t="shared" si="11"/>
        <v>94.98357030986088</v>
      </c>
      <c r="M17">
        <f t="shared" si="11"/>
        <v>94.98357030986088</v>
      </c>
      <c r="N17">
        <f t="shared" si="11"/>
        <v>91.439670792003199</v>
      </c>
      <c r="O17">
        <f t="shared" si="11"/>
        <v>92.184381045972415</v>
      </c>
      <c r="P17">
        <f t="shared" si="11"/>
        <v>92.127568098762396</v>
      </c>
      <c r="Q17">
        <f t="shared" si="11"/>
        <v>89.675398458372996</v>
      </c>
      <c r="R17">
        <f t="shared" si="11"/>
        <v>81.24251451033382</v>
      </c>
    </row>
    <row r="18" spans="1:18">
      <c r="A18" t="s">
        <v>18</v>
      </c>
      <c r="B18">
        <f>(B16/B14)*100</f>
        <v>12.821148941038674</v>
      </c>
      <c r="C18">
        <f t="shared" ref="C18:R18" si="12">(C16/C14)*100</f>
        <v>15.634337505110727</v>
      </c>
      <c r="D18">
        <f t="shared" si="12"/>
        <v>15.85410212913246</v>
      </c>
      <c r="E18">
        <f t="shared" si="12"/>
        <v>26.054344774689763</v>
      </c>
      <c r="F18">
        <f t="shared" si="12"/>
        <v>25.492549571277245</v>
      </c>
      <c r="G18">
        <f t="shared" si="12"/>
        <v>25.771783266888313</v>
      </c>
      <c r="H18">
        <f t="shared" si="12"/>
        <v>27.258114100358448</v>
      </c>
      <c r="I18">
        <f t="shared" si="12"/>
        <v>29.811569308139834</v>
      </c>
      <c r="K18">
        <f t="shared" si="12"/>
        <v>2.1554317806612868</v>
      </c>
      <c r="L18">
        <f t="shared" si="12"/>
        <v>4.8152811473144368</v>
      </c>
      <c r="M18">
        <f t="shared" si="12"/>
        <v>4.8152811473144368</v>
      </c>
      <c r="N18">
        <f t="shared" si="12"/>
        <v>8.4190645825016119</v>
      </c>
      <c r="O18">
        <f t="shared" si="12"/>
        <v>7.7449866412799802</v>
      </c>
      <c r="P18">
        <f t="shared" si="12"/>
        <v>7.8678254460584105</v>
      </c>
      <c r="Q18">
        <f t="shared" si="12"/>
        <v>10.315388631268618</v>
      </c>
      <c r="R18">
        <f t="shared" si="12"/>
        <v>18.450388477720111</v>
      </c>
    </row>
  </sheetData>
  <mergeCells count="2">
    <mergeCell ref="B1:I1"/>
    <mergeCell ref="K1:R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4584-EBDF-489F-ABC3-FCABD78A0D96}">
  <dimension ref="A1:R18"/>
  <sheetViews>
    <sheetView workbookViewId="0">
      <selection activeCell="P19" sqref="P19"/>
    </sheetView>
  </sheetViews>
  <sheetFormatPr defaultRowHeight="15"/>
  <cols>
    <col min="1" max="1" width="29.85546875" customWidth="1"/>
  </cols>
  <sheetData>
    <row r="1" spans="1:18">
      <c r="B1" s="3" t="s">
        <v>0</v>
      </c>
      <c r="C1" s="3"/>
      <c r="D1" s="3"/>
      <c r="E1" s="3"/>
      <c r="F1" s="3"/>
      <c r="G1" s="3"/>
      <c r="H1" s="3"/>
      <c r="I1" s="3"/>
      <c r="K1" s="3" t="s">
        <v>1</v>
      </c>
      <c r="L1" s="3"/>
      <c r="M1" s="3"/>
      <c r="N1" s="3"/>
      <c r="O1" s="3"/>
      <c r="P1" s="3"/>
      <c r="Q1" s="3"/>
      <c r="R1" s="3"/>
    </row>
    <row r="2" spans="1:18">
      <c r="B2">
        <v>1985</v>
      </c>
      <c r="C2">
        <v>1990</v>
      </c>
      <c r="D2">
        <v>1995</v>
      </c>
      <c r="E2">
        <v>2000</v>
      </c>
      <c r="F2">
        <v>2005</v>
      </c>
      <c r="G2">
        <v>2010</v>
      </c>
      <c r="H2">
        <v>2015</v>
      </c>
      <c r="I2">
        <v>2020</v>
      </c>
      <c r="K2">
        <v>1985</v>
      </c>
      <c r="L2">
        <v>1990</v>
      </c>
      <c r="M2">
        <v>1995</v>
      </c>
      <c r="N2">
        <v>2000</v>
      </c>
      <c r="O2">
        <v>2005</v>
      </c>
      <c r="P2">
        <v>2010</v>
      </c>
      <c r="Q2">
        <v>2015</v>
      </c>
      <c r="R2">
        <v>2020</v>
      </c>
    </row>
    <row r="3" spans="1:18">
      <c r="A3" t="s">
        <v>2</v>
      </c>
      <c r="B3">
        <v>19195769</v>
      </c>
      <c r="C3">
        <v>18469567</v>
      </c>
      <c r="D3">
        <v>18373594</v>
      </c>
      <c r="E3">
        <v>15849762</v>
      </c>
      <c r="F3">
        <v>15956928</v>
      </c>
      <c r="G3">
        <v>15860832</v>
      </c>
      <c r="H3">
        <v>15438994</v>
      </c>
      <c r="I3">
        <v>14798842</v>
      </c>
      <c r="K3">
        <v>102682</v>
      </c>
      <c r="L3">
        <v>101518</v>
      </c>
      <c r="M3">
        <v>101518</v>
      </c>
      <c r="N3">
        <v>98010</v>
      </c>
      <c r="O3">
        <v>100171</v>
      </c>
      <c r="P3">
        <v>100070</v>
      </c>
      <c r="Q3">
        <v>99936</v>
      </c>
      <c r="R3">
        <v>99910</v>
      </c>
    </row>
    <row r="4" spans="1:18">
      <c r="A4" t="s">
        <v>3</v>
      </c>
      <c r="B4">
        <v>270029</v>
      </c>
      <c r="C4">
        <v>235931</v>
      </c>
      <c r="D4">
        <v>259777</v>
      </c>
      <c r="E4">
        <v>294492</v>
      </c>
      <c r="F4">
        <v>303568</v>
      </c>
      <c r="G4">
        <v>307221</v>
      </c>
      <c r="H4">
        <v>354735</v>
      </c>
      <c r="I4">
        <v>315299</v>
      </c>
    </row>
    <row r="5" spans="1:18">
      <c r="A5" t="s">
        <v>4</v>
      </c>
      <c r="B5">
        <v>5701</v>
      </c>
      <c r="C5">
        <v>8126</v>
      </c>
      <c r="D5">
        <v>8650</v>
      </c>
      <c r="E5">
        <v>8165</v>
      </c>
      <c r="F5">
        <v>6693</v>
      </c>
      <c r="G5">
        <v>7442</v>
      </c>
      <c r="H5">
        <v>6392</v>
      </c>
      <c r="I5">
        <v>7617</v>
      </c>
      <c r="K5">
        <v>199</v>
      </c>
      <c r="L5">
        <v>493</v>
      </c>
      <c r="M5">
        <v>493</v>
      </c>
      <c r="N5">
        <v>458</v>
      </c>
      <c r="O5">
        <v>294</v>
      </c>
      <c r="P5">
        <v>225</v>
      </c>
      <c r="Q5">
        <v>152</v>
      </c>
      <c r="R5">
        <v>187</v>
      </c>
    </row>
    <row r="6" spans="1:18">
      <c r="A6" t="s">
        <v>5</v>
      </c>
    </row>
    <row r="7" spans="1:18">
      <c r="A7" t="s">
        <v>6</v>
      </c>
      <c r="B7">
        <v>11015</v>
      </c>
      <c r="C7">
        <v>12457</v>
      </c>
      <c r="D7">
        <v>12457</v>
      </c>
      <c r="E7">
        <v>2397</v>
      </c>
      <c r="F7">
        <v>1355</v>
      </c>
      <c r="G7">
        <v>1032</v>
      </c>
      <c r="H7">
        <v>1526</v>
      </c>
      <c r="I7">
        <v>2601</v>
      </c>
    </row>
    <row r="8" spans="1:18">
      <c r="A8" t="s">
        <v>7</v>
      </c>
      <c r="B8">
        <v>2693770</v>
      </c>
      <c r="C8">
        <v>3426700</v>
      </c>
      <c r="D8">
        <v>3464776</v>
      </c>
      <c r="E8">
        <v>6219479</v>
      </c>
      <c r="F8">
        <v>6121940</v>
      </c>
      <c r="G8">
        <v>6224547</v>
      </c>
      <c r="H8">
        <v>6559678</v>
      </c>
      <c r="I8">
        <v>7184582</v>
      </c>
      <c r="K8">
        <v>475</v>
      </c>
      <c r="L8">
        <v>1631</v>
      </c>
      <c r="M8">
        <v>1631</v>
      </c>
      <c r="N8">
        <v>5373</v>
      </c>
      <c r="O8">
        <v>3433</v>
      </c>
      <c r="P8">
        <v>3644</v>
      </c>
      <c r="Q8">
        <v>3776</v>
      </c>
      <c r="R8">
        <v>3689</v>
      </c>
    </row>
    <row r="9" spans="1:18">
      <c r="A9" t="s">
        <v>8</v>
      </c>
      <c r="B9">
        <v>46782</v>
      </c>
      <c r="C9">
        <v>62739</v>
      </c>
      <c r="D9">
        <v>63660</v>
      </c>
      <c r="E9">
        <v>76249</v>
      </c>
      <c r="F9">
        <v>95039</v>
      </c>
      <c r="G9">
        <v>118701</v>
      </c>
      <c r="H9">
        <v>133534</v>
      </c>
      <c r="I9">
        <v>153305</v>
      </c>
      <c r="K9">
        <v>29</v>
      </c>
      <c r="L9">
        <v>47</v>
      </c>
      <c r="M9">
        <v>47</v>
      </c>
      <c r="N9">
        <v>23</v>
      </c>
      <c r="O9">
        <v>25</v>
      </c>
      <c r="P9">
        <v>44</v>
      </c>
      <c r="Q9">
        <v>101</v>
      </c>
      <c r="R9">
        <v>132</v>
      </c>
    </row>
    <row r="10" spans="1:18">
      <c r="A10" t="s">
        <v>9</v>
      </c>
      <c r="B10">
        <v>260499</v>
      </c>
      <c r="C10">
        <v>328683</v>
      </c>
      <c r="D10">
        <v>359476</v>
      </c>
      <c r="E10">
        <v>87015</v>
      </c>
      <c r="F10">
        <v>58128</v>
      </c>
      <c r="G10">
        <v>42249</v>
      </c>
      <c r="H10">
        <v>51414</v>
      </c>
      <c r="I10">
        <v>79030</v>
      </c>
      <c r="K10">
        <v>110</v>
      </c>
      <c r="L10">
        <v>166</v>
      </c>
      <c r="M10">
        <v>166</v>
      </c>
      <c r="N10">
        <v>98</v>
      </c>
      <c r="O10">
        <v>67</v>
      </c>
      <c r="P10">
        <v>11</v>
      </c>
      <c r="Q10">
        <v>13</v>
      </c>
      <c r="R10">
        <v>4</v>
      </c>
    </row>
    <row r="11" spans="1:18">
      <c r="A11" t="s">
        <v>10</v>
      </c>
      <c r="B11">
        <v>134</v>
      </c>
      <c r="C11">
        <v>149</v>
      </c>
      <c r="D11">
        <v>153</v>
      </c>
      <c r="E11">
        <v>128</v>
      </c>
      <c r="F11">
        <v>134</v>
      </c>
      <c r="G11">
        <v>147</v>
      </c>
      <c r="H11">
        <v>141</v>
      </c>
      <c r="I11">
        <v>177</v>
      </c>
    </row>
    <row r="12" spans="1:18">
      <c r="A12" t="s">
        <v>11</v>
      </c>
      <c r="B12">
        <v>399691</v>
      </c>
      <c r="C12">
        <v>429867</v>
      </c>
      <c r="D12">
        <v>431676</v>
      </c>
      <c r="E12">
        <v>436479</v>
      </c>
      <c r="F12">
        <v>430259</v>
      </c>
      <c r="G12">
        <v>411683</v>
      </c>
      <c r="H12">
        <v>427270</v>
      </c>
      <c r="I12">
        <v>429403</v>
      </c>
      <c r="K12">
        <v>75</v>
      </c>
      <c r="L12">
        <v>144</v>
      </c>
      <c r="M12">
        <v>144</v>
      </c>
      <c r="N12">
        <v>37</v>
      </c>
      <c r="O12">
        <v>9</v>
      </c>
      <c r="P12">
        <v>5</v>
      </c>
      <c r="Q12">
        <v>14</v>
      </c>
      <c r="R12">
        <v>67</v>
      </c>
    </row>
    <row r="13" spans="1:18">
      <c r="A13" t="s">
        <v>12</v>
      </c>
      <c r="E13">
        <v>53</v>
      </c>
      <c r="F13">
        <v>175</v>
      </c>
      <c r="G13">
        <v>365</v>
      </c>
      <c r="H13">
        <v>535</v>
      </c>
      <c r="I13">
        <v>3363</v>
      </c>
      <c r="Q13">
        <v>7</v>
      </c>
      <c r="R13">
        <v>10</v>
      </c>
    </row>
    <row r="14" spans="1:18">
      <c r="A14" t="s">
        <v>13</v>
      </c>
      <c r="B14">
        <f>SUM(B3:B13)</f>
        <v>22883390</v>
      </c>
      <c r="C14">
        <f t="shared" ref="C14:R14" si="0">SUM(C3:C13)</f>
        <v>22974219</v>
      </c>
      <c r="D14">
        <f t="shared" si="0"/>
        <v>22974219</v>
      </c>
      <c r="E14">
        <f t="shared" si="0"/>
        <v>22974219</v>
      </c>
      <c r="F14">
        <f t="shared" si="0"/>
        <v>22974219</v>
      </c>
      <c r="G14">
        <f t="shared" si="0"/>
        <v>22974219</v>
      </c>
      <c r="H14">
        <f t="shared" si="0"/>
        <v>22974219</v>
      </c>
      <c r="I14">
        <f t="shared" si="0"/>
        <v>22974219</v>
      </c>
      <c r="K14">
        <f t="shared" si="0"/>
        <v>103570</v>
      </c>
      <c r="L14">
        <f t="shared" si="0"/>
        <v>103999</v>
      </c>
      <c r="M14">
        <f t="shared" si="0"/>
        <v>103999</v>
      </c>
      <c r="N14">
        <f t="shared" si="0"/>
        <v>103999</v>
      </c>
      <c r="O14">
        <f t="shared" si="0"/>
        <v>103999</v>
      </c>
      <c r="P14">
        <f t="shared" si="0"/>
        <v>103999</v>
      </c>
      <c r="Q14">
        <f t="shared" si="0"/>
        <v>103999</v>
      </c>
      <c r="R14">
        <f t="shared" si="0"/>
        <v>103999</v>
      </c>
    </row>
    <row r="15" spans="1:18">
      <c r="A15" t="s">
        <v>14</v>
      </c>
      <c r="B15">
        <f>SUM(B3:B7)</f>
        <v>19482514</v>
      </c>
      <c r="C15">
        <f t="shared" ref="C15:R15" si="1">SUM(C3:C7)</f>
        <v>18726081</v>
      </c>
      <c r="D15">
        <f t="shared" si="1"/>
        <v>18654478</v>
      </c>
      <c r="E15">
        <f t="shared" si="1"/>
        <v>16154816</v>
      </c>
      <c r="F15">
        <f t="shared" si="1"/>
        <v>16268544</v>
      </c>
      <c r="G15">
        <f t="shared" si="1"/>
        <v>16176527</v>
      </c>
      <c r="H15">
        <f t="shared" si="1"/>
        <v>15801647</v>
      </c>
      <c r="I15">
        <f t="shared" si="1"/>
        <v>15124359</v>
      </c>
      <c r="K15">
        <f t="shared" si="1"/>
        <v>102881</v>
      </c>
      <c r="L15">
        <f t="shared" si="1"/>
        <v>102011</v>
      </c>
      <c r="M15">
        <f t="shared" si="1"/>
        <v>102011</v>
      </c>
      <c r="N15">
        <f t="shared" si="1"/>
        <v>98468</v>
      </c>
      <c r="O15">
        <f t="shared" si="1"/>
        <v>100465</v>
      </c>
      <c r="P15">
        <f t="shared" si="1"/>
        <v>100295</v>
      </c>
      <c r="Q15">
        <f t="shared" si="1"/>
        <v>100088</v>
      </c>
      <c r="R15">
        <f t="shared" si="1"/>
        <v>100097</v>
      </c>
    </row>
    <row r="16" spans="1:18">
      <c r="A16" t="s">
        <v>19</v>
      </c>
      <c r="B16">
        <f>SUM(B8:B9,B13)</f>
        <v>2740552</v>
      </c>
      <c r="C16">
        <f t="shared" ref="C16:R16" si="2">SUM(C8:C9,C13)</f>
        <v>3489439</v>
      </c>
      <c r="D16">
        <f t="shared" si="2"/>
        <v>3528436</v>
      </c>
      <c r="E16">
        <f t="shared" si="2"/>
        <v>6295781</v>
      </c>
      <c r="F16">
        <f t="shared" si="2"/>
        <v>6217154</v>
      </c>
      <c r="G16">
        <f t="shared" si="2"/>
        <v>6343613</v>
      </c>
      <c r="H16">
        <f t="shared" si="2"/>
        <v>6693747</v>
      </c>
      <c r="I16">
        <f t="shared" si="2"/>
        <v>7341250</v>
      </c>
      <c r="K16">
        <f t="shared" si="2"/>
        <v>504</v>
      </c>
      <c r="L16">
        <f t="shared" si="2"/>
        <v>1678</v>
      </c>
      <c r="M16">
        <f t="shared" si="2"/>
        <v>1678</v>
      </c>
      <c r="N16">
        <f t="shared" si="2"/>
        <v>5396</v>
      </c>
      <c r="O16">
        <f t="shared" si="2"/>
        <v>3458</v>
      </c>
      <c r="P16">
        <f t="shared" si="2"/>
        <v>3688</v>
      </c>
      <c r="Q16">
        <f t="shared" si="2"/>
        <v>3884</v>
      </c>
      <c r="R16">
        <f t="shared" si="2"/>
        <v>3831</v>
      </c>
    </row>
    <row r="17" spans="1:18">
      <c r="A17" t="s">
        <v>16</v>
      </c>
      <c r="B17">
        <f>(B15/B14)*100</f>
        <v>85.138233452298806</v>
      </c>
      <c r="C17">
        <f t="shared" ref="C17:R17" si="3">(C15/C14)*100</f>
        <v>81.509108100693211</v>
      </c>
      <c r="D17">
        <f t="shared" si="3"/>
        <v>81.197441358071842</v>
      </c>
      <c r="E17">
        <f t="shared" si="3"/>
        <v>70.317149845224336</v>
      </c>
      <c r="F17">
        <f t="shared" si="3"/>
        <v>70.812174289798492</v>
      </c>
      <c r="G17">
        <f t="shared" si="3"/>
        <v>70.411651425452163</v>
      </c>
      <c r="H17">
        <f t="shared" si="3"/>
        <v>68.779909340987828</v>
      </c>
      <c r="I17">
        <f t="shared" si="3"/>
        <v>65.831874415404499</v>
      </c>
      <c r="K17">
        <f t="shared" si="3"/>
        <v>99.33474944481992</v>
      </c>
      <c r="L17">
        <f t="shared" si="3"/>
        <v>98.088443158107282</v>
      </c>
      <c r="M17">
        <f t="shared" si="3"/>
        <v>98.088443158107282</v>
      </c>
      <c r="N17">
        <f t="shared" si="3"/>
        <v>94.681679631534919</v>
      </c>
      <c r="O17">
        <f t="shared" si="3"/>
        <v>96.601890402792336</v>
      </c>
      <c r="P17">
        <f t="shared" si="3"/>
        <v>96.438427292570111</v>
      </c>
      <c r="Q17">
        <f t="shared" si="3"/>
        <v>96.239386917181889</v>
      </c>
      <c r="R17">
        <f t="shared" si="3"/>
        <v>96.248040846546601</v>
      </c>
    </row>
    <row r="18" spans="1:18">
      <c r="A18" t="s">
        <v>17</v>
      </c>
      <c r="B18">
        <f>(B16/B14)*100</f>
        <v>11.976162622758254</v>
      </c>
      <c r="C18">
        <f t="shared" ref="C18:R18" si="4">(C16/C14)*100</f>
        <v>15.188498899570863</v>
      </c>
      <c r="D18">
        <f t="shared" si="4"/>
        <v>15.358241339999415</v>
      </c>
      <c r="E18">
        <f t="shared" si="4"/>
        <v>27.403678009685549</v>
      </c>
      <c r="F18">
        <f t="shared" si="4"/>
        <v>27.061437866505926</v>
      </c>
      <c r="G18">
        <f t="shared" si="4"/>
        <v>27.611876599591916</v>
      </c>
      <c r="H18">
        <f t="shared" si="4"/>
        <v>29.135906643877647</v>
      </c>
      <c r="I18">
        <f t="shared" si="4"/>
        <v>31.954296248329484</v>
      </c>
      <c r="K18">
        <f t="shared" si="4"/>
        <v>0.48662740175726565</v>
      </c>
      <c r="L18">
        <f t="shared" si="4"/>
        <v>1.6134770526639679</v>
      </c>
      <c r="M18">
        <f t="shared" si="4"/>
        <v>1.6134770526639679</v>
      </c>
      <c r="N18">
        <f t="shared" si="4"/>
        <v>5.1885114279945004</v>
      </c>
      <c r="O18">
        <f t="shared" si="4"/>
        <v>3.3250319714612639</v>
      </c>
      <c r="P18">
        <f t="shared" si="4"/>
        <v>3.5461879441148474</v>
      </c>
      <c r="Q18">
        <f t="shared" si="4"/>
        <v>3.7346512947239874</v>
      </c>
      <c r="R18">
        <f t="shared" si="4"/>
        <v>3.6836892662429448</v>
      </c>
    </row>
  </sheetData>
  <mergeCells count="2">
    <mergeCell ref="B1:I1"/>
    <mergeCell ref="K1:R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4F5C-0266-4E02-BB5E-18015F560329}">
  <dimension ref="A1:R19"/>
  <sheetViews>
    <sheetView workbookViewId="0">
      <selection activeCell="T20" sqref="T20"/>
    </sheetView>
  </sheetViews>
  <sheetFormatPr defaultRowHeight="15"/>
  <cols>
    <col min="1" max="1" width="29.5703125" customWidth="1"/>
  </cols>
  <sheetData>
    <row r="1" spans="1:18">
      <c r="B1" s="3" t="s">
        <v>0</v>
      </c>
      <c r="C1" s="3"/>
      <c r="D1" s="3"/>
      <c r="E1" s="3"/>
      <c r="F1" s="3"/>
      <c r="G1" s="3"/>
      <c r="H1" s="3"/>
      <c r="I1" s="3"/>
      <c r="K1" s="3" t="s">
        <v>1</v>
      </c>
      <c r="L1" s="3"/>
      <c r="M1" s="3"/>
      <c r="N1" s="3"/>
      <c r="O1" s="3"/>
      <c r="P1" s="3"/>
      <c r="Q1" s="3"/>
      <c r="R1" s="3"/>
    </row>
    <row r="2" spans="1:18">
      <c r="B2">
        <v>1985</v>
      </c>
      <c r="C2">
        <v>1990</v>
      </c>
      <c r="D2">
        <v>1995</v>
      </c>
      <c r="E2">
        <v>2000</v>
      </c>
      <c r="F2">
        <v>2005</v>
      </c>
      <c r="G2">
        <v>2010</v>
      </c>
      <c r="H2">
        <v>2015</v>
      </c>
      <c r="I2">
        <v>2020</v>
      </c>
      <c r="K2">
        <v>1985</v>
      </c>
      <c r="L2">
        <v>1990</v>
      </c>
      <c r="M2">
        <v>1995</v>
      </c>
      <c r="N2">
        <v>2000</v>
      </c>
      <c r="O2">
        <v>2005</v>
      </c>
      <c r="P2">
        <v>2010</v>
      </c>
      <c r="Q2">
        <v>2015</v>
      </c>
      <c r="R2">
        <v>2020</v>
      </c>
    </row>
    <row r="3" spans="1:18">
      <c r="A3" t="s">
        <v>2</v>
      </c>
      <c r="B3">
        <v>18470032</v>
      </c>
      <c r="C3">
        <v>17861020</v>
      </c>
      <c r="D3">
        <v>17815403</v>
      </c>
      <c r="E3">
        <v>16049920</v>
      </c>
      <c r="F3">
        <v>16214199</v>
      </c>
      <c r="G3">
        <v>16280746</v>
      </c>
      <c r="H3">
        <v>15920919</v>
      </c>
      <c r="I3">
        <v>15289539</v>
      </c>
      <c r="K3">
        <v>606722</v>
      </c>
      <c r="L3">
        <v>608047</v>
      </c>
      <c r="M3">
        <v>607902</v>
      </c>
      <c r="N3">
        <v>606968</v>
      </c>
      <c r="O3">
        <v>607992</v>
      </c>
      <c r="P3">
        <v>608648</v>
      </c>
      <c r="Q3">
        <v>606832</v>
      </c>
      <c r="R3">
        <v>607048</v>
      </c>
    </row>
    <row r="4" spans="1:18">
      <c r="A4" t="s">
        <v>3</v>
      </c>
      <c r="B4">
        <v>1186</v>
      </c>
      <c r="C4">
        <v>504</v>
      </c>
      <c r="D4">
        <v>504</v>
      </c>
      <c r="E4">
        <v>21</v>
      </c>
      <c r="F4">
        <v>72</v>
      </c>
      <c r="G4">
        <v>44</v>
      </c>
      <c r="H4">
        <v>151</v>
      </c>
      <c r="I4">
        <v>304</v>
      </c>
    </row>
    <row r="5" spans="1:18">
      <c r="A5" t="s">
        <v>4</v>
      </c>
      <c r="B5">
        <v>3836</v>
      </c>
      <c r="C5">
        <v>3777</v>
      </c>
      <c r="D5">
        <v>3710</v>
      </c>
      <c r="E5">
        <v>3428</v>
      </c>
      <c r="F5">
        <v>3474</v>
      </c>
      <c r="G5">
        <v>3641</v>
      </c>
      <c r="H5">
        <v>3112</v>
      </c>
      <c r="I5">
        <v>3482</v>
      </c>
    </row>
    <row r="6" spans="1:18">
      <c r="A6" t="s">
        <v>5</v>
      </c>
      <c r="B6">
        <v>169788</v>
      </c>
      <c r="C6">
        <v>169937</v>
      </c>
      <c r="D6">
        <v>167425</v>
      </c>
      <c r="E6">
        <v>165702</v>
      </c>
      <c r="F6">
        <v>164326</v>
      </c>
      <c r="G6">
        <v>163237</v>
      </c>
      <c r="H6">
        <v>167088</v>
      </c>
      <c r="I6">
        <v>167573</v>
      </c>
    </row>
    <row r="7" spans="1:18">
      <c r="A7" t="s">
        <v>6</v>
      </c>
      <c r="B7">
        <v>513498</v>
      </c>
      <c r="C7">
        <v>518819</v>
      </c>
      <c r="D7">
        <v>526803</v>
      </c>
      <c r="E7">
        <v>464333</v>
      </c>
      <c r="F7">
        <v>425310</v>
      </c>
      <c r="G7">
        <v>457135</v>
      </c>
      <c r="H7">
        <v>452989</v>
      </c>
      <c r="I7">
        <v>478999</v>
      </c>
      <c r="M7">
        <v>26</v>
      </c>
      <c r="N7">
        <v>247</v>
      </c>
      <c r="O7">
        <v>219</v>
      </c>
      <c r="P7">
        <v>108</v>
      </c>
      <c r="Q7">
        <v>375</v>
      </c>
      <c r="R7">
        <v>363</v>
      </c>
    </row>
    <row r="8" spans="1:18">
      <c r="A8" t="s">
        <v>7</v>
      </c>
      <c r="B8">
        <v>2644194</v>
      </c>
      <c r="C8">
        <v>3322082</v>
      </c>
      <c r="D8">
        <v>3326554</v>
      </c>
      <c r="E8">
        <v>5410531</v>
      </c>
      <c r="F8">
        <v>5292228</v>
      </c>
      <c r="G8">
        <v>5220475</v>
      </c>
      <c r="H8">
        <v>5545981</v>
      </c>
      <c r="I8">
        <v>6108133</v>
      </c>
      <c r="K8">
        <v>847</v>
      </c>
      <c r="L8">
        <v>2678</v>
      </c>
      <c r="M8">
        <v>2729</v>
      </c>
      <c r="N8">
        <v>3465</v>
      </c>
      <c r="O8">
        <v>2590</v>
      </c>
      <c r="P8">
        <v>1980</v>
      </c>
      <c r="Q8">
        <v>3141</v>
      </c>
      <c r="R8">
        <v>2677</v>
      </c>
    </row>
    <row r="9" spans="1:18">
      <c r="A9" t="s">
        <v>8</v>
      </c>
      <c r="B9">
        <v>31625</v>
      </c>
      <c r="C9">
        <v>39080</v>
      </c>
      <c r="D9">
        <v>39172</v>
      </c>
      <c r="E9">
        <v>47992</v>
      </c>
      <c r="F9">
        <v>58915</v>
      </c>
      <c r="G9">
        <v>73935</v>
      </c>
      <c r="H9">
        <v>84932</v>
      </c>
      <c r="I9">
        <v>97340</v>
      </c>
    </row>
    <row r="10" spans="1:18">
      <c r="A10" t="s">
        <v>9</v>
      </c>
      <c r="B10">
        <v>350229</v>
      </c>
      <c r="C10">
        <v>364492</v>
      </c>
      <c r="D10">
        <v>397425</v>
      </c>
      <c r="E10">
        <v>137822</v>
      </c>
      <c r="F10">
        <v>132748</v>
      </c>
      <c r="G10">
        <v>110589</v>
      </c>
      <c r="H10">
        <v>119440</v>
      </c>
      <c r="I10">
        <v>141250</v>
      </c>
      <c r="K10">
        <v>59</v>
      </c>
      <c r="L10">
        <v>136</v>
      </c>
      <c r="M10">
        <v>131</v>
      </c>
      <c r="N10">
        <v>190</v>
      </c>
      <c r="O10">
        <v>119</v>
      </c>
      <c r="P10">
        <v>143</v>
      </c>
      <c r="Q10">
        <v>164</v>
      </c>
      <c r="R10">
        <v>200</v>
      </c>
    </row>
    <row r="11" spans="1:18">
      <c r="A11" t="s">
        <v>10</v>
      </c>
      <c r="B11">
        <v>51547</v>
      </c>
      <c r="C11">
        <v>52932</v>
      </c>
      <c r="D11">
        <v>51892</v>
      </c>
      <c r="E11">
        <v>53598</v>
      </c>
      <c r="F11">
        <v>53945</v>
      </c>
      <c r="G11">
        <v>53808</v>
      </c>
      <c r="H11">
        <v>54301</v>
      </c>
      <c r="I11">
        <v>54535</v>
      </c>
      <c r="K11">
        <v>275</v>
      </c>
      <c r="L11">
        <v>281</v>
      </c>
      <c r="M11">
        <v>287</v>
      </c>
      <c r="N11">
        <v>278</v>
      </c>
      <c r="O11">
        <v>282</v>
      </c>
      <c r="P11">
        <v>285</v>
      </c>
      <c r="Q11">
        <v>283</v>
      </c>
      <c r="R11">
        <v>293</v>
      </c>
    </row>
    <row r="12" spans="1:18">
      <c r="A12" t="s">
        <v>11</v>
      </c>
      <c r="B12">
        <v>228841</v>
      </c>
      <c r="C12">
        <v>249823</v>
      </c>
      <c r="D12">
        <v>253942</v>
      </c>
      <c r="E12">
        <v>251306</v>
      </c>
      <c r="F12">
        <v>240802</v>
      </c>
      <c r="G12">
        <v>222435</v>
      </c>
      <c r="H12">
        <v>237941</v>
      </c>
      <c r="I12">
        <v>243698</v>
      </c>
      <c r="K12">
        <v>1702</v>
      </c>
      <c r="L12">
        <v>1845</v>
      </c>
      <c r="M12">
        <v>1912</v>
      </c>
      <c r="N12">
        <v>1839</v>
      </c>
      <c r="O12">
        <v>1785</v>
      </c>
      <c r="P12">
        <v>1823</v>
      </c>
      <c r="Q12">
        <v>2192</v>
      </c>
      <c r="R12">
        <v>2406</v>
      </c>
    </row>
    <row r="13" spans="1:18">
      <c r="A13" t="s">
        <v>20</v>
      </c>
      <c r="B13">
        <v>20890</v>
      </c>
      <c r="C13">
        <v>17550</v>
      </c>
      <c r="D13">
        <v>17186</v>
      </c>
      <c r="E13">
        <v>15039</v>
      </c>
      <c r="F13">
        <v>13815</v>
      </c>
      <c r="G13">
        <v>13625</v>
      </c>
      <c r="H13">
        <v>12673</v>
      </c>
      <c r="I13">
        <v>11805</v>
      </c>
    </row>
    <row r="14" spans="1:18">
      <c r="A14" t="s">
        <v>12</v>
      </c>
      <c r="E14">
        <v>324</v>
      </c>
      <c r="F14">
        <v>182</v>
      </c>
      <c r="G14">
        <v>346</v>
      </c>
      <c r="H14">
        <v>489</v>
      </c>
      <c r="I14">
        <v>3358</v>
      </c>
    </row>
    <row r="15" spans="1:18">
      <c r="A15" t="s">
        <v>13</v>
      </c>
      <c r="B15">
        <f>SUM(B3:B14)</f>
        <v>22485666</v>
      </c>
      <c r="C15">
        <f t="shared" ref="C15:R15" si="0">SUM(C3:C14)</f>
        <v>22600016</v>
      </c>
      <c r="D15">
        <f t="shared" si="0"/>
        <v>22600016</v>
      </c>
      <c r="E15">
        <f t="shared" si="0"/>
        <v>22600016</v>
      </c>
      <c r="F15">
        <f t="shared" si="0"/>
        <v>22600016</v>
      </c>
      <c r="G15">
        <f t="shared" si="0"/>
        <v>22600016</v>
      </c>
      <c r="H15">
        <f t="shared" si="0"/>
        <v>22600016</v>
      </c>
      <c r="I15">
        <f t="shared" si="0"/>
        <v>22600016</v>
      </c>
      <c r="K15">
        <f t="shared" si="0"/>
        <v>609605</v>
      </c>
      <c r="L15">
        <f t="shared" si="0"/>
        <v>612987</v>
      </c>
      <c r="M15">
        <f t="shared" si="0"/>
        <v>612987</v>
      </c>
      <c r="N15">
        <f t="shared" si="0"/>
        <v>612987</v>
      </c>
      <c r="O15">
        <f t="shared" si="0"/>
        <v>612987</v>
      </c>
      <c r="P15">
        <f t="shared" si="0"/>
        <v>612987</v>
      </c>
      <c r="Q15">
        <f t="shared" si="0"/>
        <v>612987</v>
      </c>
      <c r="R15">
        <f t="shared" si="0"/>
        <v>612987</v>
      </c>
    </row>
    <row r="16" spans="1:18">
      <c r="A16" t="s">
        <v>14</v>
      </c>
      <c r="B16">
        <f>SUM(B3:B7)</f>
        <v>19158340</v>
      </c>
      <c r="C16">
        <f t="shared" ref="C16:R16" si="1">SUM(C3:C7)</f>
        <v>18554057</v>
      </c>
      <c r="D16">
        <f t="shared" si="1"/>
        <v>18513845</v>
      </c>
      <c r="E16">
        <f t="shared" si="1"/>
        <v>16683404</v>
      </c>
      <c r="F16">
        <f t="shared" si="1"/>
        <v>16807381</v>
      </c>
      <c r="G16">
        <f t="shared" si="1"/>
        <v>16904803</v>
      </c>
      <c r="H16">
        <f t="shared" si="1"/>
        <v>16544259</v>
      </c>
      <c r="I16">
        <f t="shared" si="1"/>
        <v>15939897</v>
      </c>
      <c r="K16">
        <f t="shared" si="1"/>
        <v>606722</v>
      </c>
      <c r="L16">
        <f t="shared" si="1"/>
        <v>608047</v>
      </c>
      <c r="M16">
        <f t="shared" si="1"/>
        <v>607928</v>
      </c>
      <c r="N16">
        <f t="shared" si="1"/>
        <v>607215</v>
      </c>
      <c r="O16">
        <f t="shared" si="1"/>
        <v>608211</v>
      </c>
      <c r="P16">
        <f t="shared" si="1"/>
        <v>608756</v>
      </c>
      <c r="Q16">
        <f t="shared" si="1"/>
        <v>607207</v>
      </c>
      <c r="R16">
        <f t="shared" si="1"/>
        <v>607411</v>
      </c>
    </row>
    <row r="17" spans="1:18">
      <c r="A17" t="s">
        <v>19</v>
      </c>
      <c r="B17">
        <f>SUM(B8:B9)</f>
        <v>2675819</v>
      </c>
      <c r="C17">
        <f t="shared" ref="C17:R17" si="2">SUM(C8:C9)</f>
        <v>3361162</v>
      </c>
      <c r="D17">
        <f t="shared" si="2"/>
        <v>3365726</v>
      </c>
      <c r="E17">
        <f t="shared" si="2"/>
        <v>5458523</v>
      </c>
      <c r="F17">
        <f t="shared" si="2"/>
        <v>5351143</v>
      </c>
      <c r="G17">
        <f t="shared" si="2"/>
        <v>5294410</v>
      </c>
      <c r="H17">
        <f t="shared" si="2"/>
        <v>5630913</v>
      </c>
      <c r="I17">
        <f t="shared" si="2"/>
        <v>6205473</v>
      </c>
      <c r="K17">
        <f t="shared" si="2"/>
        <v>847</v>
      </c>
      <c r="L17">
        <f t="shared" si="2"/>
        <v>2678</v>
      </c>
      <c r="M17">
        <f t="shared" si="2"/>
        <v>2729</v>
      </c>
      <c r="N17">
        <f t="shared" si="2"/>
        <v>3465</v>
      </c>
      <c r="O17">
        <f t="shared" si="2"/>
        <v>2590</v>
      </c>
      <c r="P17">
        <f t="shared" si="2"/>
        <v>1980</v>
      </c>
      <c r="Q17">
        <f t="shared" si="2"/>
        <v>3141</v>
      </c>
      <c r="R17">
        <f t="shared" si="2"/>
        <v>2677</v>
      </c>
    </row>
    <row r="18" spans="1:18">
      <c r="A18" t="s">
        <v>16</v>
      </c>
      <c r="B18">
        <f>(B16/B15)*100</f>
        <v>85.202457423320269</v>
      </c>
      <c r="C18">
        <f t="shared" ref="C18:R18" si="3">(C16/C15)*100</f>
        <v>82.097539222981084</v>
      </c>
      <c r="D18">
        <f t="shared" si="3"/>
        <v>81.919610145408754</v>
      </c>
      <c r="E18">
        <f t="shared" si="3"/>
        <v>73.820319419242892</v>
      </c>
      <c r="F18">
        <f t="shared" si="3"/>
        <v>74.368889827334641</v>
      </c>
      <c r="G18">
        <f t="shared" si="3"/>
        <v>74.799960318612165</v>
      </c>
      <c r="H18">
        <f t="shared" si="3"/>
        <v>73.204634014418403</v>
      </c>
      <c r="I18">
        <f t="shared" si="3"/>
        <v>70.530467766040516</v>
      </c>
      <c r="K18">
        <f t="shared" si="3"/>
        <v>99.527070808146263</v>
      </c>
      <c r="L18">
        <f t="shared" si="3"/>
        <v>99.194110152417593</v>
      </c>
      <c r="M18">
        <f t="shared" si="3"/>
        <v>99.174697016413077</v>
      </c>
      <c r="N18">
        <f t="shared" si="3"/>
        <v>99.058381335982659</v>
      </c>
      <c r="O18">
        <f t="shared" si="3"/>
        <v>99.220864390272538</v>
      </c>
      <c r="P18">
        <f t="shared" si="3"/>
        <v>99.309773290461294</v>
      </c>
      <c r="Q18">
        <f t="shared" si="3"/>
        <v>99.057076251209239</v>
      </c>
      <c r="R18">
        <f t="shared" si="3"/>
        <v>99.090355912931273</v>
      </c>
    </row>
    <row r="19" spans="1:18">
      <c r="A19" t="s">
        <v>17</v>
      </c>
      <c r="B19">
        <f>(B17/B15)*100</f>
        <v>11.900110052332895</v>
      </c>
      <c r="C19">
        <f t="shared" ref="C19:R19" si="4">(C17/C15)*100</f>
        <v>14.87238770096446</v>
      </c>
      <c r="D19">
        <f t="shared" si="4"/>
        <v>14.892582376932831</v>
      </c>
      <c r="E19">
        <f t="shared" si="4"/>
        <v>24.152739537883512</v>
      </c>
      <c r="F19">
        <f t="shared" si="4"/>
        <v>23.677607130897606</v>
      </c>
      <c r="G19">
        <f t="shared" si="4"/>
        <v>23.426576335167194</v>
      </c>
      <c r="H19">
        <f t="shared" si="4"/>
        <v>24.915526608476739</v>
      </c>
      <c r="I19">
        <f t="shared" si="4"/>
        <v>27.457825693574726</v>
      </c>
      <c r="K19">
        <f t="shared" si="4"/>
        <v>0.13894242993413769</v>
      </c>
      <c r="L19">
        <f t="shared" si="4"/>
        <v>0.43687712789993915</v>
      </c>
      <c r="M19">
        <f t="shared" si="4"/>
        <v>0.44519704333044585</v>
      </c>
      <c r="N19">
        <f t="shared" si="4"/>
        <v>0.56526484248442466</v>
      </c>
      <c r="O19">
        <f t="shared" si="4"/>
        <v>0.42252119539239819</v>
      </c>
      <c r="P19">
        <f t="shared" si="4"/>
        <v>0.3230084814196712</v>
      </c>
      <c r="Q19">
        <f t="shared" si="4"/>
        <v>0.51240890916120574</v>
      </c>
      <c r="R19">
        <f t="shared" si="4"/>
        <v>0.43671399230326252</v>
      </c>
    </row>
  </sheetData>
  <mergeCells count="2">
    <mergeCell ref="B1:I1"/>
    <mergeCell ref="K1:R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15A8-81F6-40D4-BD03-3A4584D5F703}">
  <dimension ref="A1:R19"/>
  <sheetViews>
    <sheetView workbookViewId="0">
      <selection activeCell="U21" sqref="U21"/>
    </sheetView>
  </sheetViews>
  <sheetFormatPr defaultRowHeight="15"/>
  <cols>
    <col min="1" max="1" width="29.5703125" customWidth="1"/>
  </cols>
  <sheetData>
    <row r="1" spans="1:18">
      <c r="B1" s="3" t="s">
        <v>0</v>
      </c>
      <c r="C1" s="3"/>
      <c r="D1" s="3"/>
      <c r="E1" s="3"/>
      <c r="F1" s="3"/>
      <c r="G1" s="3"/>
      <c r="H1" s="3"/>
      <c r="I1" s="3"/>
      <c r="K1" s="3" t="s">
        <v>1</v>
      </c>
      <c r="L1" s="3"/>
      <c r="M1" s="3"/>
      <c r="N1" s="3"/>
      <c r="O1" s="3"/>
      <c r="P1" s="3"/>
      <c r="Q1" s="3"/>
      <c r="R1" s="3"/>
    </row>
    <row r="2" spans="1:18">
      <c r="B2">
        <v>1985</v>
      </c>
      <c r="C2">
        <v>1990</v>
      </c>
      <c r="D2">
        <v>1995</v>
      </c>
      <c r="E2">
        <v>2000</v>
      </c>
      <c r="F2">
        <v>2005</v>
      </c>
      <c r="G2">
        <v>2010</v>
      </c>
      <c r="H2">
        <v>2015</v>
      </c>
      <c r="I2">
        <v>2020</v>
      </c>
      <c r="K2">
        <v>1985</v>
      </c>
      <c r="L2">
        <v>1990</v>
      </c>
      <c r="M2">
        <v>1995</v>
      </c>
      <c r="N2">
        <v>2000</v>
      </c>
      <c r="O2">
        <v>2005</v>
      </c>
      <c r="P2">
        <v>2010</v>
      </c>
      <c r="Q2">
        <v>2015</v>
      </c>
      <c r="R2">
        <v>2020</v>
      </c>
    </row>
    <row r="3" spans="1:18">
      <c r="A3" t="s">
        <v>2</v>
      </c>
      <c r="B3">
        <v>16252091</v>
      </c>
      <c r="C3">
        <v>15960295</v>
      </c>
      <c r="D3">
        <v>15983323</v>
      </c>
      <c r="E3">
        <v>14793659</v>
      </c>
      <c r="F3">
        <v>14933851</v>
      </c>
      <c r="G3">
        <v>14952856</v>
      </c>
      <c r="H3">
        <v>14767470</v>
      </c>
      <c r="I3">
        <v>14362146</v>
      </c>
      <c r="K3">
        <v>330618</v>
      </c>
      <c r="L3">
        <v>332493</v>
      </c>
      <c r="M3">
        <v>332443</v>
      </c>
      <c r="N3">
        <v>331987</v>
      </c>
      <c r="O3">
        <v>331837</v>
      </c>
      <c r="P3">
        <v>332270</v>
      </c>
      <c r="Q3">
        <v>332402</v>
      </c>
      <c r="R3">
        <v>332528</v>
      </c>
    </row>
    <row r="4" spans="1:18">
      <c r="A4" t="s">
        <v>3</v>
      </c>
      <c r="B4">
        <v>1251</v>
      </c>
      <c r="C4">
        <v>516</v>
      </c>
      <c r="D4">
        <v>516</v>
      </c>
      <c r="E4">
        <v>26</v>
      </c>
      <c r="F4">
        <v>112</v>
      </c>
      <c r="G4">
        <v>110</v>
      </c>
      <c r="H4">
        <v>199</v>
      </c>
      <c r="I4">
        <v>1072</v>
      </c>
    </row>
    <row r="5" spans="1:18">
      <c r="A5" t="s">
        <v>4</v>
      </c>
      <c r="B5">
        <v>14169</v>
      </c>
      <c r="C5">
        <v>13811</v>
      </c>
      <c r="D5">
        <v>13626</v>
      </c>
      <c r="E5">
        <v>13359</v>
      </c>
      <c r="F5">
        <v>13263</v>
      </c>
      <c r="G5">
        <v>13747</v>
      </c>
      <c r="H5">
        <v>13192</v>
      </c>
      <c r="I5">
        <v>13834</v>
      </c>
    </row>
    <row r="6" spans="1:18">
      <c r="A6" t="s">
        <v>5</v>
      </c>
      <c r="B6">
        <v>328105</v>
      </c>
      <c r="C6">
        <v>329438</v>
      </c>
      <c r="D6">
        <v>325780</v>
      </c>
      <c r="E6">
        <v>323933</v>
      </c>
      <c r="F6">
        <v>322530</v>
      </c>
      <c r="G6">
        <v>321056</v>
      </c>
      <c r="H6">
        <v>326416</v>
      </c>
      <c r="I6">
        <v>327104</v>
      </c>
    </row>
    <row r="7" spans="1:18">
      <c r="A7" t="s">
        <v>6</v>
      </c>
      <c r="B7">
        <v>700118</v>
      </c>
      <c r="C7">
        <v>714026</v>
      </c>
      <c r="D7">
        <v>735296</v>
      </c>
      <c r="E7">
        <v>618095</v>
      </c>
      <c r="F7">
        <v>559836</v>
      </c>
      <c r="G7">
        <v>573317</v>
      </c>
      <c r="H7">
        <v>574630</v>
      </c>
      <c r="I7">
        <v>634781</v>
      </c>
      <c r="M7">
        <v>22</v>
      </c>
      <c r="N7">
        <v>239</v>
      </c>
      <c r="O7">
        <v>209</v>
      </c>
      <c r="P7">
        <v>12</v>
      </c>
      <c r="Q7">
        <v>31</v>
      </c>
      <c r="R7">
        <v>60</v>
      </c>
    </row>
    <row r="8" spans="1:18">
      <c r="A8" t="s">
        <v>7</v>
      </c>
      <c r="B8">
        <v>2031792</v>
      </c>
      <c r="C8">
        <v>2393371</v>
      </c>
      <c r="D8">
        <v>2344552</v>
      </c>
      <c r="E8">
        <v>3845854</v>
      </c>
      <c r="F8">
        <v>3772182</v>
      </c>
      <c r="G8">
        <v>3756932</v>
      </c>
      <c r="H8">
        <v>3905390</v>
      </c>
      <c r="I8">
        <v>4210096</v>
      </c>
      <c r="K8">
        <v>10051</v>
      </c>
      <c r="L8">
        <v>10178</v>
      </c>
      <c r="M8">
        <v>10182</v>
      </c>
      <c r="N8">
        <v>10461</v>
      </c>
      <c r="O8">
        <v>10659</v>
      </c>
      <c r="P8">
        <v>10620</v>
      </c>
      <c r="Q8">
        <v>10493</v>
      </c>
      <c r="R8">
        <v>9995</v>
      </c>
    </row>
    <row r="9" spans="1:18">
      <c r="A9" t="s">
        <v>8</v>
      </c>
      <c r="B9">
        <v>28070</v>
      </c>
      <c r="C9">
        <v>36592</v>
      </c>
      <c r="D9">
        <v>36686</v>
      </c>
      <c r="E9">
        <v>47094</v>
      </c>
      <c r="F9">
        <v>60052</v>
      </c>
      <c r="G9">
        <v>76341</v>
      </c>
      <c r="H9">
        <v>87068</v>
      </c>
      <c r="I9">
        <v>100101</v>
      </c>
    </row>
    <row r="10" spans="1:18">
      <c r="A10" t="s">
        <v>9</v>
      </c>
      <c r="B10">
        <v>318353</v>
      </c>
      <c r="C10">
        <v>318190</v>
      </c>
      <c r="D10">
        <v>327943</v>
      </c>
      <c r="E10">
        <v>121814</v>
      </c>
      <c r="F10">
        <v>110822</v>
      </c>
      <c r="G10">
        <v>93374</v>
      </c>
      <c r="H10">
        <v>101489</v>
      </c>
      <c r="I10">
        <v>119370</v>
      </c>
      <c r="K10">
        <v>354</v>
      </c>
      <c r="L10">
        <v>362</v>
      </c>
      <c r="M10">
        <v>387</v>
      </c>
      <c r="N10">
        <v>246</v>
      </c>
      <c r="O10">
        <v>175</v>
      </c>
      <c r="P10">
        <v>122</v>
      </c>
      <c r="Q10">
        <v>48</v>
      </c>
      <c r="R10">
        <v>75</v>
      </c>
    </row>
    <row r="11" spans="1:18">
      <c r="A11" t="s">
        <v>10</v>
      </c>
      <c r="B11">
        <v>36883</v>
      </c>
      <c r="C11">
        <v>38143</v>
      </c>
      <c r="D11">
        <v>37114</v>
      </c>
      <c r="E11">
        <v>38824</v>
      </c>
      <c r="F11">
        <v>39152</v>
      </c>
      <c r="G11">
        <v>39022</v>
      </c>
      <c r="H11">
        <v>39530</v>
      </c>
      <c r="I11">
        <v>39777</v>
      </c>
    </row>
    <row r="12" spans="1:18">
      <c r="A12" t="s">
        <v>11</v>
      </c>
      <c r="B12">
        <v>182260</v>
      </c>
      <c r="C12">
        <v>202113</v>
      </c>
      <c r="D12">
        <v>202023</v>
      </c>
      <c r="E12">
        <v>206046</v>
      </c>
      <c r="F12">
        <v>198279</v>
      </c>
      <c r="G12">
        <v>183369</v>
      </c>
      <c r="H12">
        <v>195659</v>
      </c>
      <c r="I12">
        <v>200768</v>
      </c>
      <c r="K12">
        <v>1251</v>
      </c>
      <c r="L12">
        <v>1274</v>
      </c>
      <c r="M12">
        <v>1273</v>
      </c>
      <c r="N12">
        <v>1374</v>
      </c>
      <c r="O12">
        <v>1427</v>
      </c>
      <c r="P12">
        <v>1283</v>
      </c>
      <c r="Q12">
        <v>1333</v>
      </c>
      <c r="R12">
        <v>1649</v>
      </c>
    </row>
    <row r="13" spans="1:18">
      <c r="A13" t="s">
        <v>20</v>
      </c>
      <c r="B13">
        <v>20890</v>
      </c>
      <c r="C13">
        <v>17550</v>
      </c>
      <c r="D13">
        <v>17186</v>
      </c>
      <c r="E13">
        <v>15039</v>
      </c>
      <c r="F13">
        <v>13815</v>
      </c>
      <c r="G13">
        <v>13625</v>
      </c>
      <c r="H13">
        <v>12673</v>
      </c>
      <c r="I13">
        <v>11805</v>
      </c>
    </row>
    <row r="14" spans="1:18">
      <c r="A14" t="s">
        <v>12</v>
      </c>
      <c r="E14">
        <v>302</v>
      </c>
      <c r="F14">
        <v>151</v>
      </c>
      <c r="G14">
        <v>296</v>
      </c>
      <c r="H14">
        <v>329</v>
      </c>
      <c r="I14">
        <v>3191</v>
      </c>
    </row>
    <row r="15" spans="1:18">
      <c r="A15" t="s">
        <v>13</v>
      </c>
      <c r="B15">
        <f>SUM(B3:B14)</f>
        <v>19913982</v>
      </c>
      <c r="C15">
        <f t="shared" ref="C15:I15" si="0">SUM(C3:C14)</f>
        <v>20024045</v>
      </c>
      <c r="D15">
        <f t="shared" si="0"/>
        <v>20024045</v>
      </c>
      <c r="E15">
        <f t="shared" si="0"/>
        <v>20024045</v>
      </c>
      <c r="F15">
        <f t="shared" si="0"/>
        <v>20024045</v>
      </c>
      <c r="G15">
        <f t="shared" si="0"/>
        <v>20024045</v>
      </c>
      <c r="H15">
        <f t="shared" si="0"/>
        <v>20024045</v>
      </c>
      <c r="I15">
        <f t="shared" si="0"/>
        <v>20024045</v>
      </c>
      <c r="K15">
        <f t="shared" ref="K15" si="1">SUM(K3:K14)</f>
        <v>342274</v>
      </c>
      <c r="L15">
        <f t="shared" ref="L15" si="2">SUM(L3:L14)</f>
        <v>344307</v>
      </c>
      <c r="M15">
        <f t="shared" ref="M15" si="3">SUM(M3:M14)</f>
        <v>344307</v>
      </c>
      <c r="N15">
        <f t="shared" ref="N15" si="4">SUM(N3:N14)</f>
        <v>344307</v>
      </c>
      <c r="O15">
        <f t="shared" ref="O15" si="5">SUM(O3:O14)</f>
        <v>344307</v>
      </c>
      <c r="P15">
        <f t="shared" ref="P15" si="6">SUM(P3:P14)</f>
        <v>344307</v>
      </c>
      <c r="Q15">
        <f t="shared" ref="Q15" si="7">SUM(Q3:Q14)</f>
        <v>344307</v>
      </c>
      <c r="R15">
        <f t="shared" ref="R15" si="8">SUM(R3:R14)</f>
        <v>344307</v>
      </c>
    </row>
    <row r="16" spans="1:18">
      <c r="A16" t="s">
        <v>14</v>
      </c>
      <c r="B16">
        <f>SUM(B3:B7)</f>
        <v>17295734</v>
      </c>
      <c r="C16">
        <f t="shared" ref="C16:R16" si="9">SUM(C3:C7)</f>
        <v>17018086</v>
      </c>
      <c r="D16">
        <f t="shared" si="9"/>
        <v>17058541</v>
      </c>
      <c r="E16">
        <f t="shared" si="9"/>
        <v>15749072</v>
      </c>
      <c r="F16">
        <f t="shared" si="9"/>
        <v>15829592</v>
      </c>
      <c r="G16">
        <f t="shared" si="9"/>
        <v>15861086</v>
      </c>
      <c r="H16">
        <f t="shared" si="9"/>
        <v>15681907</v>
      </c>
      <c r="I16">
        <f t="shared" si="9"/>
        <v>15338937</v>
      </c>
      <c r="K16">
        <f t="shared" si="9"/>
        <v>330618</v>
      </c>
      <c r="L16">
        <f t="shared" si="9"/>
        <v>332493</v>
      </c>
      <c r="M16">
        <f t="shared" si="9"/>
        <v>332465</v>
      </c>
      <c r="N16">
        <f t="shared" si="9"/>
        <v>332226</v>
      </c>
      <c r="O16">
        <f t="shared" si="9"/>
        <v>332046</v>
      </c>
      <c r="P16">
        <f t="shared" si="9"/>
        <v>332282</v>
      </c>
      <c r="Q16">
        <f t="shared" si="9"/>
        <v>332433</v>
      </c>
      <c r="R16">
        <f t="shared" si="9"/>
        <v>332588</v>
      </c>
    </row>
    <row r="17" spans="1:18">
      <c r="A17" t="s">
        <v>19</v>
      </c>
      <c r="B17">
        <f>SUM(B8,B9,B10,B14)</f>
        <v>2378215</v>
      </c>
      <c r="C17">
        <f t="shared" ref="C17:R17" si="10">SUM(C8,C9,C10,C14)</f>
        <v>2748153</v>
      </c>
      <c r="D17">
        <f t="shared" si="10"/>
        <v>2709181</v>
      </c>
      <c r="E17">
        <f t="shared" si="10"/>
        <v>4015064</v>
      </c>
      <c r="F17">
        <f t="shared" si="10"/>
        <v>3943207</v>
      </c>
      <c r="G17">
        <f t="shared" si="10"/>
        <v>3926943</v>
      </c>
      <c r="H17">
        <f t="shared" si="10"/>
        <v>4094276</v>
      </c>
      <c r="I17">
        <f t="shared" si="10"/>
        <v>4432758</v>
      </c>
      <c r="K17">
        <f t="shared" si="10"/>
        <v>10405</v>
      </c>
      <c r="L17">
        <f t="shared" si="10"/>
        <v>10540</v>
      </c>
      <c r="M17">
        <f t="shared" si="10"/>
        <v>10569</v>
      </c>
      <c r="N17">
        <f t="shared" si="10"/>
        <v>10707</v>
      </c>
      <c r="O17">
        <f t="shared" si="10"/>
        <v>10834</v>
      </c>
      <c r="P17">
        <f t="shared" si="10"/>
        <v>10742</v>
      </c>
      <c r="Q17">
        <f t="shared" si="10"/>
        <v>10541</v>
      </c>
      <c r="R17">
        <f t="shared" si="10"/>
        <v>10070</v>
      </c>
    </row>
    <row r="18" spans="1:18">
      <c r="A18" t="s">
        <v>16</v>
      </c>
      <c r="B18">
        <f>(B16/B15)*100</f>
        <v>86.852212681521962</v>
      </c>
      <c r="C18">
        <f t="shared" ref="C18:R18" si="11">(C16/C15)*100</f>
        <v>84.988252872983466</v>
      </c>
      <c r="D18">
        <f t="shared" si="11"/>
        <v>85.190284979882932</v>
      </c>
      <c r="E18">
        <f t="shared" si="11"/>
        <v>78.650802073207487</v>
      </c>
      <c r="F18">
        <f t="shared" si="11"/>
        <v>79.052918628578794</v>
      </c>
      <c r="G18">
        <f t="shared" si="11"/>
        <v>79.210199537605916</v>
      </c>
      <c r="H18">
        <f t="shared" si="11"/>
        <v>78.31538033399346</v>
      </c>
      <c r="I18">
        <f t="shared" si="11"/>
        <v>76.602589536729468</v>
      </c>
      <c r="K18">
        <f t="shared" si="11"/>
        <v>96.594541215517395</v>
      </c>
      <c r="L18">
        <f t="shared" si="11"/>
        <v>96.568759856755747</v>
      </c>
      <c r="M18">
        <f t="shared" si="11"/>
        <v>96.560627579456707</v>
      </c>
      <c r="N18">
        <f t="shared" si="11"/>
        <v>96.491212783939915</v>
      </c>
      <c r="O18">
        <f t="shared" si="11"/>
        <v>96.438933858446092</v>
      </c>
      <c r="P18">
        <f t="shared" si="11"/>
        <v>96.507477338537996</v>
      </c>
      <c r="Q18">
        <f t="shared" si="11"/>
        <v>96.551333548257801</v>
      </c>
      <c r="R18">
        <f t="shared" si="11"/>
        <v>96.596351511877472</v>
      </c>
    </row>
    <row r="19" spans="1:18">
      <c r="A19" t="s">
        <v>17</v>
      </c>
      <c r="B19">
        <f>(B17/B15)*100</f>
        <v>11.942438232594565</v>
      </c>
      <c r="C19">
        <f t="shared" ref="C19:R19" si="12">(C17/C15)*100</f>
        <v>13.724265002400863</v>
      </c>
      <c r="D19">
        <f t="shared" si="12"/>
        <v>13.529638991522441</v>
      </c>
      <c r="E19">
        <f t="shared" si="12"/>
        <v>20.051213428655398</v>
      </c>
      <c r="F19">
        <f t="shared" si="12"/>
        <v>19.692359860357886</v>
      </c>
      <c r="G19">
        <f t="shared" si="12"/>
        <v>19.611137509928689</v>
      </c>
      <c r="H19">
        <f t="shared" si="12"/>
        <v>20.446797837300107</v>
      </c>
      <c r="I19">
        <f t="shared" si="12"/>
        <v>22.137175580658152</v>
      </c>
      <c r="K19">
        <f t="shared" si="12"/>
        <v>3.0399621355989646</v>
      </c>
      <c r="L19">
        <f t="shared" si="12"/>
        <v>3.0612215261380107</v>
      </c>
      <c r="M19">
        <f t="shared" si="12"/>
        <v>3.0696442419120147</v>
      </c>
      <c r="N19">
        <f t="shared" si="12"/>
        <v>3.109724751457275</v>
      </c>
      <c r="O19">
        <f t="shared" si="12"/>
        <v>3.1466104377779134</v>
      </c>
      <c r="P19">
        <f t="shared" si="12"/>
        <v>3.1198900980810729</v>
      </c>
      <c r="Q19">
        <f t="shared" si="12"/>
        <v>3.061511964612976</v>
      </c>
      <c r="R19">
        <f t="shared" si="12"/>
        <v>2.9247154429041524</v>
      </c>
    </row>
  </sheetData>
  <mergeCells count="2">
    <mergeCell ref="B1:I1"/>
    <mergeCell ref="K1:R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35DD-0318-4AE9-AFCF-2AF7C26BEA0B}">
  <dimension ref="A1:R19"/>
  <sheetViews>
    <sheetView workbookViewId="0">
      <selection activeCell="I17" sqref="I17"/>
    </sheetView>
  </sheetViews>
  <sheetFormatPr defaultRowHeight="15"/>
  <cols>
    <col min="1" max="1" width="29.5703125" customWidth="1"/>
  </cols>
  <sheetData>
    <row r="1" spans="1:18">
      <c r="B1" s="3" t="s">
        <v>0</v>
      </c>
      <c r="C1" s="3"/>
      <c r="D1" s="3"/>
      <c r="E1" s="3"/>
      <c r="F1" s="3"/>
      <c r="G1" s="3"/>
      <c r="H1" s="3"/>
      <c r="I1" s="3"/>
      <c r="K1" s="3" t="s">
        <v>1</v>
      </c>
      <c r="L1" s="3"/>
      <c r="M1" s="3"/>
      <c r="N1" s="3"/>
      <c r="O1" s="3"/>
      <c r="P1" s="3"/>
      <c r="Q1" s="3"/>
      <c r="R1" s="3"/>
    </row>
    <row r="2" spans="1:18">
      <c r="B2">
        <v>1985</v>
      </c>
      <c r="C2">
        <v>1990</v>
      </c>
      <c r="D2">
        <v>1995</v>
      </c>
      <c r="E2">
        <v>2000</v>
      </c>
      <c r="F2">
        <v>2005</v>
      </c>
      <c r="G2">
        <v>2010</v>
      </c>
      <c r="H2">
        <v>2015</v>
      </c>
      <c r="I2">
        <v>2020</v>
      </c>
      <c r="K2">
        <v>1985</v>
      </c>
      <c r="L2">
        <v>1990</v>
      </c>
      <c r="M2">
        <v>1995</v>
      </c>
      <c r="N2">
        <v>2000</v>
      </c>
      <c r="O2">
        <v>2005</v>
      </c>
      <c r="P2">
        <v>2010</v>
      </c>
      <c r="Q2">
        <v>2015</v>
      </c>
      <c r="R2">
        <v>2020</v>
      </c>
    </row>
    <row r="3" spans="1:18">
      <c r="A3" t="s">
        <v>2</v>
      </c>
      <c r="B3">
        <v>21720719</v>
      </c>
      <c r="C3">
        <v>21469378</v>
      </c>
      <c r="D3">
        <v>21368354</v>
      </c>
      <c r="E3">
        <v>19735892</v>
      </c>
      <c r="F3">
        <v>19802657</v>
      </c>
      <c r="G3">
        <v>19516920</v>
      </c>
      <c r="H3">
        <v>19321434</v>
      </c>
      <c r="I3">
        <v>19049864</v>
      </c>
      <c r="K3">
        <v>237019</v>
      </c>
      <c r="L3">
        <v>237762</v>
      </c>
      <c r="M3">
        <v>237744</v>
      </c>
      <c r="N3">
        <v>236971</v>
      </c>
      <c r="O3">
        <v>236973</v>
      </c>
      <c r="P3">
        <v>236856</v>
      </c>
      <c r="Q3">
        <v>236915</v>
      </c>
      <c r="R3">
        <v>235774</v>
      </c>
    </row>
    <row r="4" spans="1:18">
      <c r="A4" t="s">
        <v>3</v>
      </c>
      <c r="B4">
        <v>1383222</v>
      </c>
      <c r="C4">
        <v>1325187</v>
      </c>
      <c r="D4">
        <v>1378370</v>
      </c>
      <c r="E4">
        <v>1436800</v>
      </c>
      <c r="F4">
        <v>1447600</v>
      </c>
      <c r="G4">
        <v>1471015</v>
      </c>
      <c r="H4">
        <v>1567953</v>
      </c>
      <c r="I4">
        <v>1558087</v>
      </c>
      <c r="K4">
        <v>76</v>
      </c>
      <c r="N4">
        <v>6</v>
      </c>
      <c r="O4">
        <v>11</v>
      </c>
      <c r="P4">
        <v>27</v>
      </c>
      <c r="R4">
        <v>22</v>
      </c>
    </row>
    <row r="5" spans="1:18">
      <c r="A5" t="s">
        <v>4</v>
      </c>
      <c r="B5">
        <v>6977</v>
      </c>
      <c r="C5">
        <v>6358</v>
      </c>
      <c r="D5">
        <v>10370</v>
      </c>
      <c r="E5">
        <v>10718</v>
      </c>
      <c r="F5">
        <v>10962</v>
      </c>
      <c r="G5">
        <v>11859</v>
      </c>
      <c r="H5">
        <v>9212</v>
      </c>
      <c r="I5">
        <v>10409</v>
      </c>
    </row>
    <row r="6" spans="1:18">
      <c r="A6" t="s">
        <v>5</v>
      </c>
    </row>
    <row r="7" spans="1:18">
      <c r="A7" t="s">
        <v>6</v>
      </c>
    </row>
    <row r="8" spans="1:18">
      <c r="A8" t="s">
        <v>7</v>
      </c>
      <c r="B8">
        <v>1016899</v>
      </c>
      <c r="C8">
        <v>1329714</v>
      </c>
      <c r="D8">
        <v>1368423</v>
      </c>
      <c r="E8">
        <v>3120296</v>
      </c>
      <c r="F8">
        <v>3045173</v>
      </c>
      <c r="G8">
        <v>3304451</v>
      </c>
      <c r="H8">
        <v>3380448</v>
      </c>
      <c r="I8">
        <v>3622292</v>
      </c>
      <c r="K8">
        <v>71</v>
      </c>
      <c r="L8">
        <v>60</v>
      </c>
      <c r="M8">
        <v>69</v>
      </c>
      <c r="N8">
        <v>815</v>
      </c>
      <c r="O8">
        <v>847</v>
      </c>
      <c r="P8">
        <v>952</v>
      </c>
      <c r="Q8">
        <v>904</v>
      </c>
      <c r="R8">
        <v>2016</v>
      </c>
    </row>
    <row r="9" spans="1:18">
      <c r="A9" t="s">
        <v>8</v>
      </c>
      <c r="B9">
        <v>41624</v>
      </c>
      <c r="C9">
        <v>55450</v>
      </c>
      <c r="D9">
        <v>57179</v>
      </c>
      <c r="E9">
        <v>67375</v>
      </c>
      <c r="F9">
        <v>84684</v>
      </c>
      <c r="G9">
        <v>106575</v>
      </c>
      <c r="H9">
        <v>118920</v>
      </c>
      <c r="I9">
        <v>136307</v>
      </c>
      <c r="K9">
        <v>6</v>
      </c>
      <c r="L9">
        <v>6</v>
      </c>
      <c r="M9">
        <v>18</v>
      </c>
    </row>
    <row r="10" spans="1:18">
      <c r="A10" t="s">
        <v>9</v>
      </c>
      <c r="B10">
        <v>217751</v>
      </c>
      <c r="C10">
        <v>239192</v>
      </c>
      <c r="D10">
        <v>244064</v>
      </c>
      <c r="E10">
        <v>58834</v>
      </c>
      <c r="F10">
        <v>39836</v>
      </c>
      <c r="G10">
        <v>32210</v>
      </c>
      <c r="H10">
        <v>38012</v>
      </c>
      <c r="I10">
        <v>57185</v>
      </c>
      <c r="N10">
        <v>35</v>
      </c>
    </row>
    <row r="11" spans="1:18">
      <c r="A11" t="s">
        <v>10</v>
      </c>
      <c r="B11">
        <v>79</v>
      </c>
      <c r="C11">
        <v>84</v>
      </c>
      <c r="D11">
        <v>87</v>
      </c>
      <c r="E11">
        <v>69</v>
      </c>
      <c r="F11">
        <v>93</v>
      </c>
      <c r="G11">
        <v>122</v>
      </c>
      <c r="H11">
        <v>116</v>
      </c>
      <c r="I11">
        <v>135</v>
      </c>
    </row>
    <row r="12" spans="1:18">
      <c r="A12" t="s">
        <v>11</v>
      </c>
      <c r="B12">
        <v>466484</v>
      </c>
      <c r="C12">
        <v>499263</v>
      </c>
      <c r="D12">
        <v>497779</v>
      </c>
      <c r="E12">
        <v>494596</v>
      </c>
      <c r="F12">
        <v>493516</v>
      </c>
      <c r="G12">
        <v>481355</v>
      </c>
      <c r="H12">
        <v>488240</v>
      </c>
      <c r="I12">
        <v>489732</v>
      </c>
      <c r="K12">
        <v>7</v>
      </c>
      <c r="L12">
        <v>18</v>
      </c>
      <c r="M12">
        <v>15</v>
      </c>
      <c r="N12">
        <v>19</v>
      </c>
      <c r="O12">
        <v>15</v>
      </c>
      <c r="P12">
        <v>11</v>
      </c>
      <c r="Q12">
        <v>27</v>
      </c>
      <c r="R12">
        <v>34</v>
      </c>
    </row>
    <row r="13" spans="1:18">
      <c r="A13" t="s">
        <v>20</v>
      </c>
    </row>
    <row r="14" spans="1:18">
      <c r="A14" t="s">
        <v>12</v>
      </c>
      <c r="E14">
        <v>46</v>
      </c>
      <c r="F14">
        <v>105</v>
      </c>
      <c r="G14">
        <v>119</v>
      </c>
      <c r="H14">
        <v>291</v>
      </c>
      <c r="I14">
        <v>615</v>
      </c>
    </row>
    <row r="15" spans="1:18">
      <c r="A15" t="s">
        <v>13</v>
      </c>
      <c r="B15">
        <f>SUM(B3:B14)</f>
        <v>24853755</v>
      </c>
      <c r="C15">
        <f t="shared" ref="C15:H15" si="0">SUM(C3:C14)</f>
        <v>24924626</v>
      </c>
      <c r="D15">
        <f t="shared" si="0"/>
        <v>24924626</v>
      </c>
      <c r="E15">
        <f t="shared" si="0"/>
        <v>24924626</v>
      </c>
      <c r="F15">
        <f t="shared" si="0"/>
        <v>24924626</v>
      </c>
      <c r="G15">
        <f t="shared" si="0"/>
        <v>24924626</v>
      </c>
      <c r="H15">
        <f t="shared" si="0"/>
        <v>24924626</v>
      </c>
      <c r="I15">
        <f>SUM(I3:I14)</f>
        <v>24924626</v>
      </c>
      <c r="K15">
        <f t="shared" ref="J15:R15" si="1">SUM(K3:K14)</f>
        <v>237179</v>
      </c>
      <c r="L15">
        <f t="shared" si="1"/>
        <v>237846</v>
      </c>
      <c r="M15">
        <f t="shared" si="1"/>
        <v>237846</v>
      </c>
      <c r="N15">
        <f t="shared" si="1"/>
        <v>237846</v>
      </c>
      <c r="O15">
        <f t="shared" si="1"/>
        <v>237846</v>
      </c>
      <c r="P15">
        <f t="shared" si="1"/>
        <v>237846</v>
      </c>
      <c r="Q15">
        <f t="shared" si="1"/>
        <v>237846</v>
      </c>
      <c r="R15">
        <f t="shared" si="1"/>
        <v>237846</v>
      </c>
    </row>
    <row r="16" spans="1:18">
      <c r="A16" t="s">
        <v>14</v>
      </c>
      <c r="B16">
        <f>SUM(B3:B7)</f>
        <v>23110918</v>
      </c>
      <c r="C16">
        <f t="shared" ref="C16:H16" si="2">SUM(C3:C7)</f>
        <v>22800923</v>
      </c>
      <c r="D16">
        <f t="shared" si="2"/>
        <v>22757094</v>
      </c>
      <c r="E16">
        <f t="shared" si="2"/>
        <v>21183410</v>
      </c>
      <c r="F16">
        <f t="shared" si="2"/>
        <v>21261219</v>
      </c>
      <c r="G16">
        <f t="shared" si="2"/>
        <v>20999794</v>
      </c>
      <c r="H16">
        <f t="shared" si="2"/>
        <v>20898599</v>
      </c>
      <c r="I16">
        <f>SUM(I3:I7)</f>
        <v>20618360</v>
      </c>
      <c r="K16">
        <f t="shared" ref="J16:R16" si="3">SUM(K3:K7)</f>
        <v>237095</v>
      </c>
      <c r="L16">
        <f t="shared" si="3"/>
        <v>237762</v>
      </c>
      <c r="M16">
        <f t="shared" si="3"/>
        <v>237744</v>
      </c>
      <c r="N16">
        <f t="shared" si="3"/>
        <v>236977</v>
      </c>
      <c r="O16">
        <f t="shared" si="3"/>
        <v>236984</v>
      </c>
      <c r="P16">
        <f t="shared" si="3"/>
        <v>236883</v>
      </c>
      <c r="Q16">
        <f t="shared" si="3"/>
        <v>236915</v>
      </c>
      <c r="R16">
        <f t="shared" si="3"/>
        <v>235796</v>
      </c>
    </row>
    <row r="17" spans="1:18">
      <c r="A17" t="s">
        <v>19</v>
      </c>
      <c r="B17">
        <f>SUM(B8,B9,B14)</f>
        <v>1058523</v>
      </c>
      <c r="C17">
        <f t="shared" ref="C17:H17" si="4">SUM(C8,C9,C14)</f>
        <v>1385164</v>
      </c>
      <c r="D17">
        <f t="shared" si="4"/>
        <v>1425602</v>
      </c>
      <c r="E17">
        <f t="shared" si="4"/>
        <v>3187717</v>
      </c>
      <c r="F17">
        <f t="shared" si="4"/>
        <v>3129962</v>
      </c>
      <c r="G17">
        <f t="shared" si="4"/>
        <v>3411145</v>
      </c>
      <c r="H17">
        <f t="shared" si="4"/>
        <v>3499659</v>
      </c>
      <c r="I17">
        <f>SUM(I8,I9,I14)</f>
        <v>3759214</v>
      </c>
      <c r="K17">
        <f t="shared" ref="J17:R17" si="5">SUM(K8,K9,K14)</f>
        <v>77</v>
      </c>
      <c r="L17">
        <f t="shared" si="5"/>
        <v>66</v>
      </c>
      <c r="M17">
        <f t="shared" si="5"/>
        <v>87</v>
      </c>
      <c r="N17">
        <f t="shared" si="5"/>
        <v>815</v>
      </c>
      <c r="O17">
        <f t="shared" si="5"/>
        <v>847</v>
      </c>
      <c r="P17">
        <f t="shared" si="5"/>
        <v>952</v>
      </c>
      <c r="Q17">
        <f t="shared" si="5"/>
        <v>904</v>
      </c>
      <c r="R17">
        <f t="shared" si="5"/>
        <v>2016</v>
      </c>
    </row>
    <row r="18" spans="1:18">
      <c r="A18" t="s">
        <v>16</v>
      </c>
      <c r="B18">
        <f>(B16/B15)*100</f>
        <v>92.987631044081667</v>
      </c>
      <c r="C18">
        <f t="shared" ref="C18:R18" si="6">(C16/C15)*100</f>
        <v>91.479499030396681</v>
      </c>
      <c r="D18">
        <f t="shared" si="6"/>
        <v>91.303652861230503</v>
      </c>
      <c r="E18">
        <f t="shared" si="6"/>
        <v>84.989881091896819</v>
      </c>
      <c r="F18">
        <f t="shared" si="6"/>
        <v>85.302058293673085</v>
      </c>
      <c r="G18">
        <f t="shared" si="6"/>
        <v>84.25319601585997</v>
      </c>
      <c r="H18">
        <f t="shared" si="6"/>
        <v>83.847191929780607</v>
      </c>
      <c r="I18">
        <f t="shared" si="6"/>
        <v>82.722846071993217</v>
      </c>
      <c r="K18">
        <f t="shared" si="6"/>
        <v>99.964583711036809</v>
      </c>
      <c r="L18">
        <f t="shared" si="6"/>
        <v>99.964683030196014</v>
      </c>
      <c r="M18">
        <f t="shared" si="6"/>
        <v>99.957115108095152</v>
      </c>
      <c r="N18">
        <f t="shared" si="6"/>
        <v>99.634637538575376</v>
      </c>
      <c r="O18">
        <f t="shared" si="6"/>
        <v>99.637580619392381</v>
      </c>
      <c r="P18">
        <f t="shared" si="6"/>
        <v>99.595116167604246</v>
      </c>
      <c r="Q18">
        <f t="shared" si="6"/>
        <v>99.608570251339103</v>
      </c>
      <c r="R18">
        <f t="shared" si="6"/>
        <v>99.138097760735945</v>
      </c>
    </row>
    <row r="19" spans="1:18">
      <c r="A19" t="s">
        <v>17</v>
      </c>
      <c r="B19">
        <f>(B17/B15)*100</f>
        <v>4.2590063352600041</v>
      </c>
      <c r="C19">
        <f t="shared" ref="C19:R19" si="7">(C17/C15)*100</f>
        <v>5.5574113729931192</v>
      </c>
      <c r="D19">
        <f t="shared" si="7"/>
        <v>5.7196525235724698</v>
      </c>
      <c r="E19">
        <f t="shared" si="7"/>
        <v>12.789427612675111</v>
      </c>
      <c r="F19">
        <f t="shared" si="7"/>
        <v>12.557708990297387</v>
      </c>
      <c r="G19">
        <f t="shared" si="7"/>
        <v>13.68584226700132</v>
      </c>
      <c r="H19">
        <f t="shared" si="7"/>
        <v>14.040968959774963</v>
      </c>
      <c r="I19">
        <f t="shared" si="7"/>
        <v>15.082328617488583</v>
      </c>
      <c r="K19">
        <f t="shared" si="7"/>
        <v>3.2464931549589127E-2</v>
      </c>
      <c r="L19">
        <f t="shared" si="7"/>
        <v>2.7749047703135646E-2</v>
      </c>
      <c r="M19">
        <f t="shared" si="7"/>
        <v>3.6578290154133351E-2</v>
      </c>
      <c r="N19">
        <f t="shared" si="7"/>
        <v>0.34265869512205377</v>
      </c>
      <c r="O19">
        <f t="shared" si="7"/>
        <v>0.3561127788569074</v>
      </c>
      <c r="P19">
        <f t="shared" si="7"/>
        <v>0.40025899111189589</v>
      </c>
      <c r="Q19">
        <f t="shared" si="7"/>
        <v>0.38007786550961548</v>
      </c>
      <c r="R19">
        <f t="shared" si="7"/>
        <v>0.84760727529577962</v>
      </c>
    </row>
  </sheetData>
  <mergeCells count="2">
    <mergeCell ref="B1:I1"/>
    <mergeCell ref="K1:R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80E0-1E12-4970-85E8-61C3AE879D84}">
  <dimension ref="A1:R19"/>
  <sheetViews>
    <sheetView topLeftCell="A4" workbookViewId="0">
      <selection activeCell="U20" sqref="U20"/>
    </sheetView>
  </sheetViews>
  <sheetFormatPr defaultRowHeight="15"/>
  <cols>
    <col min="1" max="1" width="30.28515625" customWidth="1"/>
  </cols>
  <sheetData>
    <row r="1" spans="1:18">
      <c r="B1" s="3" t="s">
        <v>0</v>
      </c>
      <c r="C1" s="3"/>
      <c r="D1" s="3"/>
      <c r="E1" s="3"/>
      <c r="F1" s="3"/>
      <c r="G1" s="3"/>
      <c r="H1" s="3"/>
      <c r="I1" s="3"/>
      <c r="K1" s="3" t="s">
        <v>1</v>
      </c>
      <c r="L1" s="3"/>
      <c r="M1" s="3"/>
      <c r="N1" s="3"/>
      <c r="O1" s="3"/>
      <c r="P1" s="3"/>
      <c r="Q1" s="3"/>
      <c r="R1" s="3"/>
    </row>
    <row r="2" spans="1:18">
      <c r="B2">
        <v>1985</v>
      </c>
      <c r="C2">
        <v>1990</v>
      </c>
      <c r="D2">
        <v>1995</v>
      </c>
      <c r="E2">
        <v>2000</v>
      </c>
      <c r="F2">
        <v>2005</v>
      </c>
      <c r="G2">
        <v>2010</v>
      </c>
      <c r="H2">
        <v>2015</v>
      </c>
      <c r="I2">
        <v>2020</v>
      </c>
      <c r="K2">
        <v>1985</v>
      </c>
      <c r="L2">
        <v>1990</v>
      </c>
      <c r="M2">
        <v>1995</v>
      </c>
      <c r="N2">
        <v>2000</v>
      </c>
      <c r="O2">
        <v>2005</v>
      </c>
      <c r="P2">
        <v>2010</v>
      </c>
      <c r="Q2">
        <v>2015</v>
      </c>
      <c r="R2">
        <v>2020</v>
      </c>
    </row>
    <row r="3" spans="1:18">
      <c r="A3" t="s">
        <v>2</v>
      </c>
      <c r="B3">
        <v>30814657</v>
      </c>
      <c r="C3">
        <v>30949272</v>
      </c>
      <c r="D3">
        <v>30942585</v>
      </c>
      <c r="E3">
        <v>30242926</v>
      </c>
      <c r="F3">
        <v>30229679</v>
      </c>
      <c r="G3">
        <v>30112512</v>
      </c>
      <c r="H3">
        <v>29762366</v>
      </c>
      <c r="I3">
        <v>29785270</v>
      </c>
      <c r="K3">
        <v>1333097</v>
      </c>
      <c r="L3">
        <v>1342779</v>
      </c>
      <c r="M3">
        <v>1338461</v>
      </c>
      <c r="N3">
        <v>1324182</v>
      </c>
      <c r="O3">
        <v>1325531</v>
      </c>
      <c r="P3">
        <v>1323072</v>
      </c>
      <c r="Q3">
        <v>1312726</v>
      </c>
      <c r="R3">
        <v>1289582</v>
      </c>
    </row>
    <row r="4" spans="1:18">
      <c r="A4" t="s">
        <v>3</v>
      </c>
      <c r="B4">
        <v>3487433</v>
      </c>
      <c r="C4">
        <v>3401022</v>
      </c>
      <c r="D4">
        <v>3399510</v>
      </c>
      <c r="E4">
        <v>3493345</v>
      </c>
      <c r="F4">
        <v>3450780</v>
      </c>
      <c r="G4">
        <v>3431135</v>
      </c>
      <c r="H4">
        <v>3717779</v>
      </c>
      <c r="I4">
        <v>3406412</v>
      </c>
      <c r="K4">
        <v>192625</v>
      </c>
      <c r="L4">
        <v>183829</v>
      </c>
      <c r="M4">
        <v>188423</v>
      </c>
      <c r="N4">
        <v>202154</v>
      </c>
      <c r="O4">
        <v>200536</v>
      </c>
      <c r="P4">
        <v>203268</v>
      </c>
      <c r="Q4">
        <v>213817</v>
      </c>
      <c r="R4">
        <v>234698</v>
      </c>
    </row>
    <row r="5" spans="1:18">
      <c r="A5" t="s">
        <v>4</v>
      </c>
      <c r="B5">
        <v>6763</v>
      </c>
      <c r="C5">
        <v>2843</v>
      </c>
      <c r="D5">
        <v>9873</v>
      </c>
      <c r="E5">
        <v>12032</v>
      </c>
      <c r="F5">
        <v>15166</v>
      </c>
      <c r="G5">
        <v>17027</v>
      </c>
      <c r="H5">
        <v>13273</v>
      </c>
      <c r="I5">
        <v>14814</v>
      </c>
      <c r="K5">
        <v>16</v>
      </c>
      <c r="M5">
        <v>34</v>
      </c>
      <c r="N5">
        <v>37</v>
      </c>
      <c r="O5">
        <v>31</v>
      </c>
      <c r="P5">
        <v>21</v>
      </c>
      <c r="Q5">
        <v>8</v>
      </c>
      <c r="R5">
        <v>15</v>
      </c>
    </row>
    <row r="6" spans="1:18">
      <c r="A6" t="s">
        <v>5</v>
      </c>
    </row>
    <row r="7" spans="1:18">
      <c r="A7" t="s">
        <v>6</v>
      </c>
    </row>
    <row r="8" spans="1:18">
      <c r="A8" t="s">
        <v>7</v>
      </c>
      <c r="B8">
        <v>382935</v>
      </c>
      <c r="C8">
        <v>385475</v>
      </c>
      <c r="D8">
        <v>403680</v>
      </c>
      <c r="E8">
        <v>1015098</v>
      </c>
      <c r="F8">
        <v>1088863</v>
      </c>
      <c r="G8">
        <v>1229250</v>
      </c>
      <c r="H8">
        <v>1291375</v>
      </c>
      <c r="I8">
        <v>1547176</v>
      </c>
      <c r="K8">
        <v>95</v>
      </c>
      <c r="L8">
        <v>12</v>
      </c>
      <c r="N8">
        <v>758</v>
      </c>
      <c r="O8">
        <v>1028</v>
      </c>
      <c r="P8">
        <v>901</v>
      </c>
      <c r="Q8">
        <v>894</v>
      </c>
      <c r="R8">
        <v>3181</v>
      </c>
    </row>
    <row r="9" spans="1:18">
      <c r="A9" t="s">
        <v>8</v>
      </c>
      <c r="B9">
        <v>6390</v>
      </c>
      <c r="C9">
        <v>9106</v>
      </c>
      <c r="D9">
        <v>10893</v>
      </c>
      <c r="E9">
        <v>12186</v>
      </c>
      <c r="F9">
        <v>14694</v>
      </c>
      <c r="G9">
        <v>17193</v>
      </c>
      <c r="H9">
        <v>19274</v>
      </c>
      <c r="I9">
        <v>22835</v>
      </c>
      <c r="M9">
        <v>14</v>
      </c>
      <c r="N9">
        <v>15</v>
      </c>
      <c r="O9">
        <v>23</v>
      </c>
      <c r="P9">
        <v>22</v>
      </c>
      <c r="Q9">
        <v>10</v>
      </c>
      <c r="R9">
        <v>21</v>
      </c>
    </row>
    <row r="10" spans="1:18">
      <c r="A10" t="s">
        <v>9</v>
      </c>
      <c r="B10">
        <v>76716</v>
      </c>
      <c r="C10">
        <v>50165</v>
      </c>
      <c r="D10">
        <v>48847</v>
      </c>
      <c r="E10">
        <v>39264</v>
      </c>
      <c r="F10">
        <v>26857</v>
      </c>
      <c r="G10">
        <v>29667</v>
      </c>
      <c r="H10">
        <v>30994</v>
      </c>
      <c r="I10">
        <v>44021</v>
      </c>
      <c r="K10">
        <v>533</v>
      </c>
      <c r="L10">
        <v>11</v>
      </c>
      <c r="M10">
        <v>16</v>
      </c>
      <c r="N10">
        <v>57</v>
      </c>
      <c r="O10">
        <v>234</v>
      </c>
      <c r="P10">
        <v>370</v>
      </c>
      <c r="Q10">
        <v>164</v>
      </c>
      <c r="R10">
        <v>398</v>
      </c>
    </row>
    <row r="11" spans="1:18">
      <c r="A11" t="s">
        <v>10</v>
      </c>
      <c r="B11">
        <v>170</v>
      </c>
      <c r="C11">
        <v>142</v>
      </c>
      <c r="D11">
        <v>167</v>
      </c>
      <c r="E11">
        <v>148</v>
      </c>
      <c r="F11">
        <v>157</v>
      </c>
      <c r="G11">
        <v>209</v>
      </c>
      <c r="H11">
        <v>261</v>
      </c>
      <c r="I11">
        <v>286</v>
      </c>
      <c r="K11">
        <v>1</v>
      </c>
      <c r="L11">
        <v>1</v>
      </c>
      <c r="Q11">
        <v>4</v>
      </c>
      <c r="R11">
        <v>4</v>
      </c>
    </row>
    <row r="12" spans="1:18">
      <c r="A12" t="s">
        <v>11</v>
      </c>
      <c r="B12">
        <v>680724</v>
      </c>
      <c r="C12">
        <v>692302</v>
      </c>
      <c r="D12">
        <v>674772</v>
      </c>
      <c r="E12">
        <v>675328</v>
      </c>
      <c r="F12">
        <v>664105</v>
      </c>
      <c r="G12">
        <v>653292</v>
      </c>
      <c r="H12">
        <v>654952</v>
      </c>
      <c r="I12">
        <v>669353</v>
      </c>
      <c r="K12">
        <v>9228</v>
      </c>
      <c r="L12">
        <v>10399</v>
      </c>
      <c r="M12">
        <v>10083</v>
      </c>
      <c r="N12">
        <v>9828</v>
      </c>
      <c r="O12">
        <v>9648</v>
      </c>
      <c r="P12">
        <v>9377</v>
      </c>
      <c r="Q12">
        <v>9408</v>
      </c>
      <c r="R12">
        <v>9132</v>
      </c>
    </row>
    <row r="13" spans="1:18">
      <c r="A13" t="s">
        <v>20</v>
      </c>
    </row>
    <row r="14" spans="1:18">
      <c r="A14" t="s">
        <v>12</v>
      </c>
      <c r="F14">
        <v>26</v>
      </c>
      <c r="G14">
        <v>42</v>
      </c>
      <c r="H14">
        <v>53</v>
      </c>
      <c r="I14">
        <v>160</v>
      </c>
    </row>
    <row r="15" spans="1:18">
      <c r="A15" t="s">
        <v>13</v>
      </c>
      <c r="B15">
        <f>SUM(B3:B14)</f>
        <v>35455788</v>
      </c>
      <c r="C15">
        <f t="shared" ref="C15:R15" si="0">SUM(C3:C14)</f>
        <v>35490327</v>
      </c>
      <c r="D15">
        <f t="shared" si="0"/>
        <v>35490327</v>
      </c>
      <c r="E15">
        <f t="shared" si="0"/>
        <v>35490327</v>
      </c>
      <c r="F15">
        <f t="shared" si="0"/>
        <v>35490327</v>
      </c>
      <c r="G15">
        <f t="shared" si="0"/>
        <v>35490327</v>
      </c>
      <c r="H15">
        <f t="shared" si="0"/>
        <v>35490327</v>
      </c>
      <c r="I15">
        <f t="shared" si="0"/>
        <v>35490327</v>
      </c>
      <c r="K15">
        <f t="shared" si="0"/>
        <v>1535595</v>
      </c>
      <c r="L15">
        <f t="shared" si="0"/>
        <v>1537031</v>
      </c>
      <c r="M15">
        <f t="shared" si="0"/>
        <v>1537031</v>
      </c>
      <c r="N15">
        <f t="shared" si="0"/>
        <v>1537031</v>
      </c>
      <c r="O15">
        <f t="shared" si="0"/>
        <v>1537031</v>
      </c>
      <c r="P15">
        <f t="shared" si="0"/>
        <v>1537031</v>
      </c>
      <c r="Q15">
        <f t="shared" si="0"/>
        <v>1537031</v>
      </c>
      <c r="R15">
        <f t="shared" si="0"/>
        <v>1537031</v>
      </c>
    </row>
    <row r="16" spans="1:18">
      <c r="A16" t="s">
        <v>14</v>
      </c>
      <c r="B16">
        <f>SUM(B3:B7)</f>
        <v>34308853</v>
      </c>
      <c r="C16">
        <f t="shared" ref="C16:R16" si="1">SUM(C3:C7)</f>
        <v>34353137</v>
      </c>
      <c r="D16">
        <f t="shared" si="1"/>
        <v>34351968</v>
      </c>
      <c r="E16">
        <f t="shared" si="1"/>
        <v>33748303</v>
      </c>
      <c r="F16">
        <f t="shared" si="1"/>
        <v>33695625</v>
      </c>
      <c r="G16">
        <f t="shared" si="1"/>
        <v>33560674</v>
      </c>
      <c r="H16">
        <f t="shared" si="1"/>
        <v>33493418</v>
      </c>
      <c r="I16">
        <f t="shared" si="1"/>
        <v>33206496</v>
      </c>
      <c r="K16">
        <f t="shared" si="1"/>
        <v>1525738</v>
      </c>
      <c r="L16">
        <f t="shared" si="1"/>
        <v>1526608</v>
      </c>
      <c r="M16">
        <f t="shared" si="1"/>
        <v>1526918</v>
      </c>
      <c r="N16">
        <f t="shared" si="1"/>
        <v>1526373</v>
      </c>
      <c r="O16">
        <f t="shared" si="1"/>
        <v>1526098</v>
      </c>
      <c r="P16">
        <f t="shared" si="1"/>
        <v>1526361</v>
      </c>
      <c r="Q16">
        <f t="shared" si="1"/>
        <v>1526551</v>
      </c>
      <c r="R16">
        <f t="shared" si="1"/>
        <v>1524295</v>
      </c>
    </row>
    <row r="17" spans="1:18">
      <c r="A17" t="s">
        <v>19</v>
      </c>
      <c r="B17">
        <f>SUM(B8,B9,B14)</f>
        <v>389325</v>
      </c>
      <c r="C17">
        <f t="shared" ref="C17:R17" si="2">SUM(C8,C9,C14)</f>
        <v>394581</v>
      </c>
      <c r="D17">
        <f t="shared" si="2"/>
        <v>414573</v>
      </c>
      <c r="E17">
        <f t="shared" si="2"/>
        <v>1027284</v>
      </c>
      <c r="F17">
        <f t="shared" si="2"/>
        <v>1103583</v>
      </c>
      <c r="G17">
        <f t="shared" si="2"/>
        <v>1246485</v>
      </c>
      <c r="H17">
        <f t="shared" si="2"/>
        <v>1310702</v>
      </c>
      <c r="I17">
        <f t="shared" si="2"/>
        <v>1570171</v>
      </c>
      <c r="K17">
        <f t="shared" si="2"/>
        <v>95</v>
      </c>
      <c r="L17">
        <f t="shared" si="2"/>
        <v>12</v>
      </c>
      <c r="M17">
        <f t="shared" si="2"/>
        <v>14</v>
      </c>
      <c r="N17">
        <f t="shared" si="2"/>
        <v>773</v>
      </c>
      <c r="O17">
        <f t="shared" si="2"/>
        <v>1051</v>
      </c>
      <c r="P17">
        <f t="shared" si="2"/>
        <v>923</v>
      </c>
      <c r="Q17">
        <f t="shared" si="2"/>
        <v>904</v>
      </c>
      <c r="R17">
        <f t="shared" si="2"/>
        <v>3202</v>
      </c>
    </row>
    <row r="18" spans="1:18">
      <c r="A18" t="s">
        <v>16</v>
      </c>
      <c r="B18">
        <f>(B16/B15)*100</f>
        <v>96.765168496607671</v>
      </c>
      <c r="C18">
        <f t="shared" ref="C18:R18" si="3">(C16/C15)*100</f>
        <v>96.795774803652833</v>
      </c>
      <c r="D18">
        <f t="shared" si="3"/>
        <v>96.792480948400396</v>
      </c>
      <c r="E18">
        <f t="shared" si="3"/>
        <v>95.091552692653408</v>
      </c>
      <c r="F18">
        <f t="shared" si="3"/>
        <v>94.943123516444345</v>
      </c>
      <c r="G18">
        <f t="shared" si="3"/>
        <v>94.562876245124485</v>
      </c>
      <c r="H18">
        <f t="shared" si="3"/>
        <v>94.373371087845996</v>
      </c>
      <c r="I18">
        <f t="shared" si="3"/>
        <v>93.564919816038895</v>
      </c>
      <c r="K18">
        <f t="shared" si="3"/>
        <v>99.358098977920605</v>
      </c>
      <c r="L18">
        <f t="shared" si="3"/>
        <v>99.321874444952641</v>
      </c>
      <c r="M18">
        <f t="shared" si="3"/>
        <v>99.342043198868467</v>
      </c>
      <c r="N18">
        <f t="shared" si="3"/>
        <v>99.306585228274514</v>
      </c>
      <c r="O18">
        <f t="shared" si="3"/>
        <v>99.288693591736276</v>
      </c>
      <c r="P18">
        <f t="shared" si="3"/>
        <v>99.305804502316477</v>
      </c>
      <c r="Q18">
        <f t="shared" si="3"/>
        <v>99.318165996651985</v>
      </c>
      <c r="R18">
        <f t="shared" si="3"/>
        <v>99.17138951654195</v>
      </c>
    </row>
    <row r="19" spans="1:18">
      <c r="A19" t="s">
        <v>17</v>
      </c>
      <c r="B19">
        <f>(B17/B15)*100</f>
        <v>1.0980576711480787</v>
      </c>
      <c r="C19">
        <f t="shared" ref="C19:R19" si="4">(C17/C15)*100</f>
        <v>1.1117987163093763</v>
      </c>
      <c r="D19">
        <f t="shared" si="4"/>
        <v>1.1681295582314584</v>
      </c>
      <c r="E19">
        <f t="shared" si="4"/>
        <v>2.8945464492338995</v>
      </c>
      <c r="F19">
        <f t="shared" si="4"/>
        <v>3.1095317887603571</v>
      </c>
      <c r="G19">
        <f t="shared" si="4"/>
        <v>3.5121823476013621</v>
      </c>
      <c r="H19">
        <f t="shared" si="4"/>
        <v>3.6931246082911549</v>
      </c>
      <c r="I19">
        <f t="shared" si="4"/>
        <v>4.4242224085452921</v>
      </c>
      <c r="K19">
        <f t="shared" si="4"/>
        <v>6.186527046519427E-3</v>
      </c>
      <c r="L19">
        <f t="shared" si="4"/>
        <v>7.8072595803207611E-4</v>
      </c>
      <c r="M19">
        <f t="shared" si="4"/>
        <v>9.1084695103742219E-4</v>
      </c>
      <c r="N19">
        <f t="shared" si="4"/>
        <v>5.0291763796566233E-2</v>
      </c>
      <c r="O19">
        <f t="shared" si="4"/>
        <v>6.8378581824309337E-2</v>
      </c>
      <c r="P19">
        <f t="shared" si="4"/>
        <v>6.0050838271967187E-2</v>
      </c>
      <c r="Q19">
        <f t="shared" si="4"/>
        <v>5.8814688838416396E-2</v>
      </c>
      <c r="R19">
        <f t="shared" si="4"/>
        <v>0.20832370980155898</v>
      </c>
    </row>
  </sheetData>
  <mergeCells count="2">
    <mergeCell ref="B1:I1"/>
    <mergeCell ref="K1:R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21A0-BF5B-4145-83DC-32F75B301C90}">
  <dimension ref="A1:S19"/>
  <sheetViews>
    <sheetView topLeftCell="A7" workbookViewId="0">
      <selection activeCell="T29" sqref="T29"/>
    </sheetView>
  </sheetViews>
  <sheetFormatPr defaultRowHeight="15"/>
  <cols>
    <col min="2" max="2" width="33.140625" customWidth="1"/>
  </cols>
  <sheetData>
    <row r="1" spans="1:19">
      <c r="C1" s="3" t="s">
        <v>0</v>
      </c>
      <c r="D1" s="3"/>
      <c r="E1" s="3"/>
      <c r="F1" s="3"/>
      <c r="G1" s="3"/>
      <c r="H1" s="3"/>
      <c r="I1" s="3"/>
      <c r="J1" s="3"/>
      <c r="L1" s="3" t="s">
        <v>1</v>
      </c>
      <c r="M1" s="3"/>
      <c r="N1" s="3"/>
      <c r="O1" s="3"/>
      <c r="P1" s="3"/>
      <c r="Q1" s="3"/>
      <c r="R1" s="3"/>
      <c r="S1" s="3"/>
    </row>
    <row r="2" spans="1:19">
      <c r="C2">
        <v>1985</v>
      </c>
      <c r="D2">
        <v>1990</v>
      </c>
      <c r="E2">
        <v>1995</v>
      </c>
      <c r="F2">
        <v>2000</v>
      </c>
      <c r="G2">
        <v>2005</v>
      </c>
      <c r="H2">
        <v>2010</v>
      </c>
      <c r="I2">
        <v>2015</v>
      </c>
      <c r="J2">
        <v>2020</v>
      </c>
      <c r="L2">
        <v>1985</v>
      </c>
      <c r="M2">
        <v>1990</v>
      </c>
      <c r="N2">
        <v>1995</v>
      </c>
      <c r="O2">
        <v>2000</v>
      </c>
      <c r="P2">
        <v>2005</v>
      </c>
      <c r="Q2">
        <v>2010</v>
      </c>
      <c r="R2">
        <v>2015</v>
      </c>
      <c r="S2">
        <v>2020</v>
      </c>
    </row>
    <row r="3" spans="1:19">
      <c r="A3">
        <v>3</v>
      </c>
      <c r="B3" t="s">
        <v>2</v>
      </c>
      <c r="C3">
        <v>20471962</v>
      </c>
      <c r="D3">
        <v>19915250</v>
      </c>
      <c r="E3">
        <v>19794825</v>
      </c>
      <c r="F3">
        <v>17746250</v>
      </c>
      <c r="G3">
        <v>17858006</v>
      </c>
      <c r="H3">
        <v>17646192</v>
      </c>
      <c r="I3">
        <v>17384318</v>
      </c>
      <c r="J3">
        <v>16909649</v>
      </c>
      <c r="L3">
        <v>134528</v>
      </c>
      <c r="M3">
        <v>134321</v>
      </c>
      <c r="N3">
        <v>134321</v>
      </c>
      <c r="O3">
        <v>132252</v>
      </c>
      <c r="P3">
        <v>132405</v>
      </c>
      <c r="Q3">
        <v>131639</v>
      </c>
      <c r="R3">
        <v>130463</v>
      </c>
      <c r="S3">
        <v>129591</v>
      </c>
    </row>
    <row r="4" spans="1:19">
      <c r="A4">
        <v>6</v>
      </c>
      <c r="B4" t="s">
        <v>3</v>
      </c>
      <c r="C4">
        <v>939862</v>
      </c>
      <c r="D4">
        <v>888577</v>
      </c>
      <c r="E4">
        <v>935099</v>
      </c>
      <c r="F4">
        <v>976340</v>
      </c>
      <c r="G4">
        <v>978371</v>
      </c>
      <c r="H4">
        <v>989508</v>
      </c>
      <c r="I4">
        <v>1064085</v>
      </c>
      <c r="J4">
        <v>1078617</v>
      </c>
      <c r="R4">
        <v>8</v>
      </c>
      <c r="S4">
        <v>7</v>
      </c>
    </row>
    <row r="5" spans="1:19">
      <c r="A5">
        <v>11</v>
      </c>
      <c r="B5" t="s">
        <v>4</v>
      </c>
      <c r="C5">
        <v>7988</v>
      </c>
      <c r="D5">
        <v>8203</v>
      </c>
      <c r="E5">
        <v>11263</v>
      </c>
      <c r="F5">
        <v>11355</v>
      </c>
      <c r="G5">
        <v>11325</v>
      </c>
      <c r="H5">
        <v>12470</v>
      </c>
      <c r="I5">
        <v>9957</v>
      </c>
      <c r="J5">
        <v>11299</v>
      </c>
    </row>
    <row r="6" spans="1:19">
      <c r="B6" t="s">
        <v>5</v>
      </c>
    </row>
    <row r="7" spans="1:19">
      <c r="A7">
        <v>25</v>
      </c>
      <c r="B7" t="s">
        <v>6</v>
      </c>
    </row>
    <row r="8" spans="1:19">
      <c r="A8">
        <v>14</v>
      </c>
      <c r="B8" t="s">
        <v>7</v>
      </c>
      <c r="C8">
        <v>1711778</v>
      </c>
      <c r="D8">
        <v>2216004</v>
      </c>
      <c r="E8">
        <v>2270324</v>
      </c>
      <c r="F8">
        <v>4508366</v>
      </c>
      <c r="G8">
        <v>4406037</v>
      </c>
      <c r="H8">
        <v>4608968</v>
      </c>
      <c r="I8">
        <v>4765629</v>
      </c>
      <c r="J8">
        <v>5178138</v>
      </c>
      <c r="L8">
        <v>221</v>
      </c>
      <c r="M8">
        <v>1120</v>
      </c>
      <c r="N8">
        <v>1120</v>
      </c>
      <c r="O8">
        <v>3321</v>
      </c>
      <c r="P8">
        <v>3208</v>
      </c>
      <c r="Q8">
        <v>4171</v>
      </c>
      <c r="R8">
        <v>5329</v>
      </c>
      <c r="S8">
        <v>6202</v>
      </c>
    </row>
    <row r="9" spans="1:19">
      <c r="A9">
        <v>24</v>
      </c>
      <c r="B9" t="s">
        <v>8</v>
      </c>
      <c r="C9">
        <v>46644</v>
      </c>
      <c r="D9">
        <v>61704</v>
      </c>
      <c r="E9">
        <v>63473</v>
      </c>
      <c r="F9">
        <v>73781</v>
      </c>
      <c r="G9">
        <v>92736</v>
      </c>
      <c r="H9">
        <v>116217</v>
      </c>
      <c r="I9">
        <v>130331</v>
      </c>
      <c r="J9">
        <v>150622</v>
      </c>
      <c r="L9">
        <v>11</v>
      </c>
      <c r="M9">
        <v>6</v>
      </c>
      <c r="N9">
        <v>6</v>
      </c>
      <c r="P9">
        <v>131</v>
      </c>
      <c r="Q9">
        <v>9</v>
      </c>
      <c r="R9">
        <v>60</v>
      </c>
      <c r="S9">
        <v>57</v>
      </c>
    </row>
    <row r="10" spans="1:19">
      <c r="A10">
        <v>25</v>
      </c>
      <c r="B10" t="s">
        <v>9</v>
      </c>
      <c r="C10">
        <v>245715</v>
      </c>
      <c r="D10">
        <v>298395</v>
      </c>
      <c r="E10">
        <v>313629</v>
      </c>
      <c r="F10">
        <v>72832</v>
      </c>
      <c r="G10">
        <v>47904</v>
      </c>
      <c r="H10">
        <v>36429</v>
      </c>
      <c r="I10">
        <v>44081</v>
      </c>
      <c r="J10">
        <v>68660</v>
      </c>
      <c r="L10">
        <v>105</v>
      </c>
      <c r="M10">
        <v>84</v>
      </c>
      <c r="N10">
        <v>84</v>
      </c>
      <c r="O10">
        <v>62</v>
      </c>
      <c r="Q10">
        <v>63</v>
      </c>
      <c r="R10">
        <v>38</v>
      </c>
      <c r="S10">
        <v>21</v>
      </c>
    </row>
    <row r="11" spans="1:19">
      <c r="A11">
        <v>27</v>
      </c>
      <c r="B11" t="s">
        <v>10</v>
      </c>
      <c r="C11">
        <v>112</v>
      </c>
      <c r="D11">
        <v>109</v>
      </c>
      <c r="E11">
        <v>132</v>
      </c>
      <c r="F11">
        <v>95</v>
      </c>
      <c r="G11">
        <v>114</v>
      </c>
      <c r="H11">
        <v>145</v>
      </c>
      <c r="I11">
        <v>128</v>
      </c>
      <c r="J11">
        <v>150</v>
      </c>
    </row>
    <row r="12" spans="1:19">
      <c r="A12">
        <v>33</v>
      </c>
      <c r="B12" t="s">
        <v>11</v>
      </c>
      <c r="C12">
        <v>454565</v>
      </c>
      <c r="D12">
        <v>490384</v>
      </c>
      <c r="E12">
        <v>489881</v>
      </c>
      <c r="F12">
        <v>489561</v>
      </c>
      <c r="G12">
        <v>484002</v>
      </c>
      <c r="H12">
        <v>468578</v>
      </c>
      <c r="I12">
        <v>479790</v>
      </c>
      <c r="J12">
        <v>480593</v>
      </c>
      <c r="L12">
        <v>998</v>
      </c>
      <c r="M12">
        <v>785</v>
      </c>
      <c r="N12">
        <v>785</v>
      </c>
      <c r="O12">
        <v>681</v>
      </c>
      <c r="P12">
        <v>572</v>
      </c>
      <c r="Q12">
        <v>434</v>
      </c>
      <c r="R12">
        <v>418</v>
      </c>
      <c r="S12">
        <v>438</v>
      </c>
    </row>
    <row r="13" spans="1:19">
      <c r="B13" t="s">
        <v>20</v>
      </c>
    </row>
    <row r="14" spans="1:19">
      <c r="A14">
        <v>30</v>
      </c>
      <c r="B14" t="s">
        <v>12</v>
      </c>
      <c r="F14">
        <v>46</v>
      </c>
      <c r="G14">
        <v>131</v>
      </c>
      <c r="H14">
        <v>119</v>
      </c>
      <c r="I14">
        <v>307</v>
      </c>
      <c r="J14">
        <v>898</v>
      </c>
    </row>
    <row r="15" spans="1:19">
      <c r="B15" t="s">
        <v>13</v>
      </c>
      <c r="C15">
        <f>SUM(C3:C14)</f>
        <v>23878626</v>
      </c>
      <c r="D15">
        <f t="shared" ref="D15:S15" si="0">SUM(D3:D14)</f>
        <v>23878626</v>
      </c>
      <c r="E15">
        <f t="shared" si="0"/>
        <v>23878626</v>
      </c>
      <c r="F15">
        <f t="shared" si="0"/>
        <v>23878626</v>
      </c>
      <c r="G15">
        <f t="shared" si="0"/>
        <v>23878626</v>
      </c>
      <c r="H15">
        <f t="shared" si="0"/>
        <v>23878626</v>
      </c>
      <c r="I15">
        <f t="shared" si="0"/>
        <v>23878626</v>
      </c>
      <c r="J15">
        <f t="shared" si="0"/>
        <v>23878626</v>
      </c>
      <c r="L15">
        <f t="shared" si="0"/>
        <v>135863</v>
      </c>
      <c r="M15">
        <f t="shared" si="0"/>
        <v>136316</v>
      </c>
      <c r="N15">
        <f t="shared" si="0"/>
        <v>136316</v>
      </c>
      <c r="O15">
        <f t="shared" si="0"/>
        <v>136316</v>
      </c>
      <c r="P15">
        <f t="shared" si="0"/>
        <v>136316</v>
      </c>
      <c r="Q15">
        <f t="shared" si="0"/>
        <v>136316</v>
      </c>
      <c r="R15">
        <f t="shared" si="0"/>
        <v>136316</v>
      </c>
      <c r="S15">
        <f t="shared" si="0"/>
        <v>136316</v>
      </c>
    </row>
    <row r="16" spans="1:19">
      <c r="B16" t="s">
        <v>14</v>
      </c>
      <c r="C16">
        <f>SUM(C3:C7)</f>
        <v>21419812</v>
      </c>
      <c r="D16">
        <f t="shared" ref="D16:S16" si="1">SUM(D3:D7)</f>
        <v>20812030</v>
      </c>
      <c r="E16">
        <f t="shared" si="1"/>
        <v>20741187</v>
      </c>
      <c r="F16">
        <f t="shared" si="1"/>
        <v>18733945</v>
      </c>
      <c r="G16">
        <f t="shared" si="1"/>
        <v>18847702</v>
      </c>
      <c r="H16">
        <f t="shared" si="1"/>
        <v>18648170</v>
      </c>
      <c r="I16">
        <f t="shared" si="1"/>
        <v>18458360</v>
      </c>
      <c r="J16">
        <f t="shared" si="1"/>
        <v>17999565</v>
      </c>
      <c r="L16">
        <f t="shared" si="1"/>
        <v>134528</v>
      </c>
      <c r="M16">
        <f t="shared" si="1"/>
        <v>134321</v>
      </c>
      <c r="N16">
        <f t="shared" si="1"/>
        <v>134321</v>
      </c>
      <c r="O16">
        <f t="shared" si="1"/>
        <v>132252</v>
      </c>
      <c r="P16">
        <f t="shared" si="1"/>
        <v>132405</v>
      </c>
      <c r="Q16">
        <f t="shared" si="1"/>
        <v>131639</v>
      </c>
      <c r="R16">
        <f t="shared" si="1"/>
        <v>130471</v>
      </c>
      <c r="S16">
        <f t="shared" si="1"/>
        <v>129598</v>
      </c>
    </row>
    <row r="17" spans="2:19">
      <c r="B17" t="s">
        <v>19</v>
      </c>
      <c r="C17">
        <f>SUM(C8:C10,C14)</f>
        <v>2004137</v>
      </c>
      <c r="D17">
        <f t="shared" ref="D17:S17" si="2">SUM(D8:D10,D14)</f>
        <v>2576103</v>
      </c>
      <c r="E17">
        <f t="shared" si="2"/>
        <v>2647426</v>
      </c>
      <c r="F17">
        <f t="shared" si="2"/>
        <v>4655025</v>
      </c>
      <c r="G17">
        <f t="shared" si="2"/>
        <v>4546808</v>
      </c>
      <c r="H17">
        <f t="shared" si="2"/>
        <v>4761733</v>
      </c>
      <c r="I17">
        <f t="shared" si="2"/>
        <v>4940348</v>
      </c>
      <c r="J17">
        <f t="shared" si="2"/>
        <v>5398318</v>
      </c>
      <c r="L17">
        <f t="shared" si="2"/>
        <v>337</v>
      </c>
      <c r="M17">
        <f t="shared" si="2"/>
        <v>1210</v>
      </c>
      <c r="N17">
        <f t="shared" si="2"/>
        <v>1210</v>
      </c>
      <c r="O17">
        <f t="shared" si="2"/>
        <v>3383</v>
      </c>
      <c r="P17">
        <f t="shared" si="2"/>
        <v>3339</v>
      </c>
      <c r="Q17">
        <f t="shared" si="2"/>
        <v>4243</v>
      </c>
      <c r="R17">
        <f t="shared" si="2"/>
        <v>5427</v>
      </c>
      <c r="S17">
        <f t="shared" si="2"/>
        <v>6280</v>
      </c>
    </row>
    <row r="18" spans="2:19">
      <c r="B18" t="s">
        <v>16</v>
      </c>
      <c r="C18">
        <f>(C16/C15)*100</f>
        <v>89.702866488214184</v>
      </c>
      <c r="D18">
        <f t="shared" ref="D18:S18" si="3">(D16/D15)*100</f>
        <v>87.157569283927813</v>
      </c>
      <c r="E18">
        <f t="shared" si="3"/>
        <v>86.860889734610353</v>
      </c>
      <c r="F18">
        <f t="shared" si="3"/>
        <v>78.454870058268838</v>
      </c>
      <c r="G18">
        <f t="shared" si="3"/>
        <v>78.931266815770726</v>
      </c>
      <c r="H18">
        <f t="shared" si="3"/>
        <v>78.095657597719409</v>
      </c>
      <c r="I18">
        <f t="shared" si="3"/>
        <v>77.300762615068379</v>
      </c>
      <c r="J18">
        <f t="shared" si="3"/>
        <v>75.379399970500813</v>
      </c>
      <c r="L18">
        <f t="shared" si="3"/>
        <v>99.017392520406588</v>
      </c>
      <c r="M18">
        <f t="shared" si="3"/>
        <v>98.536488746735529</v>
      </c>
      <c r="N18">
        <f t="shared" si="3"/>
        <v>98.536488746735529</v>
      </c>
      <c r="O18">
        <f t="shared" si="3"/>
        <v>97.018691863024159</v>
      </c>
      <c r="P18">
        <f t="shared" si="3"/>
        <v>97.130931071921125</v>
      </c>
      <c r="Q18">
        <f t="shared" si="3"/>
        <v>96.569001437835624</v>
      </c>
      <c r="R18">
        <f t="shared" si="3"/>
        <v>95.712168784295315</v>
      </c>
      <c r="S18">
        <f t="shared" si="3"/>
        <v>95.071745062941986</v>
      </c>
    </row>
    <row r="19" spans="2:19">
      <c r="B19" t="s">
        <v>17</v>
      </c>
      <c r="C19">
        <f>(C17/C15)*100</f>
        <v>8.3930164156011315</v>
      </c>
      <c r="D19">
        <f t="shared" ref="D19:S19" si="4">(D17/D15)*100</f>
        <v>10.788321740120223</v>
      </c>
      <c r="E19">
        <f t="shared" si="4"/>
        <v>11.087011455349231</v>
      </c>
      <c r="F19">
        <f t="shared" si="4"/>
        <v>19.494526192587465</v>
      </c>
      <c r="G19">
        <f t="shared" si="4"/>
        <v>19.041330099981465</v>
      </c>
      <c r="H19">
        <f t="shared" si="4"/>
        <v>19.941402826109005</v>
      </c>
      <c r="I19">
        <f t="shared" si="4"/>
        <v>20.689414876718619</v>
      </c>
      <c r="J19">
        <f t="shared" si="4"/>
        <v>22.607322548625707</v>
      </c>
      <c r="L19">
        <f t="shared" si="4"/>
        <v>0.24804398548537865</v>
      </c>
      <c r="M19">
        <f t="shared" si="4"/>
        <v>0.88764341676692382</v>
      </c>
      <c r="N19">
        <f t="shared" si="4"/>
        <v>0.88764341676692382</v>
      </c>
      <c r="O19">
        <f t="shared" si="4"/>
        <v>2.4817336189442178</v>
      </c>
      <c r="P19">
        <f t="shared" si="4"/>
        <v>2.44945567651633</v>
      </c>
      <c r="Q19">
        <f t="shared" si="4"/>
        <v>3.1126206754893042</v>
      </c>
      <c r="R19">
        <f t="shared" si="4"/>
        <v>3.9811907626397489</v>
      </c>
      <c r="S19">
        <f t="shared" si="4"/>
        <v>4.6069426919803984</v>
      </c>
    </row>
  </sheetData>
  <mergeCells count="2">
    <mergeCell ref="C1:J1"/>
    <mergeCell ref="L1:S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947F-0D9E-4AA6-9EDF-7D5887212A4C}">
  <dimension ref="A1:R19"/>
  <sheetViews>
    <sheetView tabSelected="1" workbookViewId="0">
      <selection activeCell="T13" sqref="T13"/>
    </sheetView>
  </sheetViews>
  <sheetFormatPr defaultRowHeight="15"/>
  <cols>
    <col min="1" max="1" width="28.140625" customWidth="1"/>
  </cols>
  <sheetData>
    <row r="1" spans="1:18">
      <c r="A1" t="s">
        <v>21</v>
      </c>
      <c r="B1" s="3" t="s">
        <v>0</v>
      </c>
      <c r="C1" s="3"/>
      <c r="D1" s="3"/>
      <c r="E1" s="3"/>
      <c r="F1" s="3"/>
      <c r="G1" s="3"/>
      <c r="H1" s="3"/>
      <c r="I1" s="3"/>
      <c r="K1" s="3" t="s">
        <v>1</v>
      </c>
      <c r="L1" s="3"/>
      <c r="M1" s="3"/>
      <c r="N1" s="3"/>
      <c r="O1" s="3"/>
      <c r="P1" s="3"/>
      <c r="Q1" s="3"/>
      <c r="R1" s="3"/>
    </row>
    <row r="2" spans="1:18">
      <c r="B2">
        <v>1985</v>
      </c>
      <c r="C2">
        <v>1990</v>
      </c>
      <c r="D2">
        <v>1995</v>
      </c>
      <c r="E2">
        <v>2000</v>
      </c>
      <c r="F2">
        <v>2005</v>
      </c>
      <c r="G2">
        <v>2010</v>
      </c>
      <c r="H2">
        <v>2015</v>
      </c>
      <c r="I2">
        <v>2020</v>
      </c>
      <c r="K2">
        <v>1985</v>
      </c>
      <c r="L2">
        <v>1990</v>
      </c>
      <c r="M2">
        <v>1995</v>
      </c>
      <c r="N2">
        <v>2000</v>
      </c>
      <c r="O2">
        <v>2005</v>
      </c>
      <c r="P2">
        <v>2010</v>
      </c>
      <c r="Q2">
        <v>2015</v>
      </c>
      <c r="R2">
        <v>2020</v>
      </c>
    </row>
    <row r="3" spans="1:18">
      <c r="A3" t="s">
        <v>2</v>
      </c>
      <c r="B3">
        <v>22990658</v>
      </c>
      <c r="C3">
        <v>22599812</v>
      </c>
      <c r="D3">
        <v>22481572</v>
      </c>
      <c r="E3">
        <v>20647649</v>
      </c>
      <c r="F3">
        <v>20718785</v>
      </c>
      <c r="G3">
        <v>20460264</v>
      </c>
      <c r="H3">
        <v>20229266</v>
      </c>
      <c r="I3">
        <v>19869435</v>
      </c>
      <c r="K3">
        <v>299118</v>
      </c>
      <c r="L3">
        <v>299789</v>
      </c>
      <c r="M3">
        <v>299771</v>
      </c>
      <c r="N3">
        <v>296319</v>
      </c>
      <c r="O3">
        <v>295674</v>
      </c>
      <c r="P3">
        <v>293604</v>
      </c>
      <c r="Q3">
        <v>294237</v>
      </c>
      <c r="R3">
        <v>292627</v>
      </c>
    </row>
    <row r="4" spans="1:18">
      <c r="A4" t="s">
        <v>3</v>
      </c>
      <c r="B4">
        <v>1383830</v>
      </c>
      <c r="C4">
        <v>1325216</v>
      </c>
      <c r="D4">
        <v>1378879</v>
      </c>
      <c r="E4">
        <v>1436826</v>
      </c>
      <c r="F4">
        <v>1447695</v>
      </c>
      <c r="G4">
        <v>1471247</v>
      </c>
      <c r="H4">
        <v>1568130</v>
      </c>
      <c r="I4">
        <v>1559015</v>
      </c>
      <c r="K4">
        <v>76</v>
      </c>
      <c r="N4">
        <v>6</v>
      </c>
      <c r="O4">
        <v>17</v>
      </c>
      <c r="P4">
        <v>27</v>
      </c>
      <c r="Q4">
        <v>6</v>
      </c>
      <c r="R4">
        <v>36</v>
      </c>
    </row>
    <row r="5" spans="1:18">
      <c r="A5" t="s">
        <v>4</v>
      </c>
      <c r="B5">
        <v>7837</v>
      </c>
      <c r="C5">
        <v>7290</v>
      </c>
      <c r="D5">
        <v>11302</v>
      </c>
      <c r="E5">
        <v>11359</v>
      </c>
      <c r="F5">
        <v>11616</v>
      </c>
      <c r="G5">
        <v>12627</v>
      </c>
      <c r="H5">
        <v>9785</v>
      </c>
      <c r="I5">
        <v>11155</v>
      </c>
    </row>
    <row r="6" spans="1:18">
      <c r="A6" t="s">
        <v>5</v>
      </c>
    </row>
    <row r="7" spans="1:18">
      <c r="A7" t="s">
        <v>6</v>
      </c>
    </row>
    <row r="8" spans="1:18">
      <c r="A8" t="s">
        <v>7</v>
      </c>
      <c r="B8">
        <v>1338787</v>
      </c>
      <c r="C8">
        <v>1765053</v>
      </c>
      <c r="D8">
        <v>1817046</v>
      </c>
      <c r="E8">
        <v>3800658</v>
      </c>
      <c r="F8">
        <v>3725083</v>
      </c>
      <c r="G8">
        <v>3958585</v>
      </c>
      <c r="H8">
        <v>4066383</v>
      </c>
      <c r="I8">
        <v>4391874</v>
      </c>
      <c r="K8">
        <v>379</v>
      </c>
      <c r="L8">
        <v>617</v>
      </c>
      <c r="M8">
        <v>626</v>
      </c>
      <c r="N8">
        <v>4021</v>
      </c>
      <c r="O8">
        <v>4715</v>
      </c>
      <c r="P8">
        <v>6757</v>
      </c>
      <c r="Q8">
        <v>6178</v>
      </c>
      <c r="R8">
        <v>7731</v>
      </c>
    </row>
    <row r="9" spans="1:18">
      <c r="A9" t="s">
        <v>8</v>
      </c>
      <c r="B9">
        <v>44239</v>
      </c>
      <c r="C9">
        <v>58425</v>
      </c>
      <c r="D9">
        <v>60154</v>
      </c>
      <c r="E9">
        <v>70245</v>
      </c>
      <c r="F9">
        <v>88347</v>
      </c>
      <c r="G9">
        <v>111528</v>
      </c>
      <c r="H9">
        <v>124554</v>
      </c>
      <c r="I9">
        <v>143552</v>
      </c>
      <c r="K9">
        <v>12</v>
      </c>
      <c r="L9">
        <v>46</v>
      </c>
      <c r="M9">
        <v>58</v>
      </c>
      <c r="N9">
        <v>37</v>
      </c>
      <c r="O9">
        <v>29</v>
      </c>
      <c r="P9">
        <v>30</v>
      </c>
      <c r="Q9">
        <v>32</v>
      </c>
      <c r="R9">
        <v>69</v>
      </c>
    </row>
    <row r="10" spans="1:18">
      <c r="A10" t="s">
        <v>9</v>
      </c>
      <c r="B10">
        <v>241492</v>
      </c>
      <c r="C10">
        <v>273081</v>
      </c>
      <c r="D10">
        <v>280846</v>
      </c>
      <c r="E10">
        <v>65804</v>
      </c>
      <c r="F10">
        <v>43322</v>
      </c>
      <c r="G10">
        <v>35340</v>
      </c>
      <c r="H10">
        <v>41543</v>
      </c>
      <c r="I10">
        <v>62134</v>
      </c>
      <c r="K10">
        <v>87</v>
      </c>
      <c r="L10">
        <v>49</v>
      </c>
      <c r="M10">
        <v>49</v>
      </c>
      <c r="N10">
        <v>50</v>
      </c>
    </row>
    <row r="11" spans="1:18">
      <c r="A11" t="s">
        <v>10</v>
      </c>
      <c r="B11">
        <v>102</v>
      </c>
      <c r="C11">
        <v>105</v>
      </c>
      <c r="D11">
        <v>113</v>
      </c>
      <c r="E11">
        <v>92</v>
      </c>
      <c r="F11">
        <v>113</v>
      </c>
      <c r="G11">
        <v>142</v>
      </c>
      <c r="H11">
        <v>133</v>
      </c>
      <c r="I11">
        <v>149</v>
      </c>
      <c r="O11">
        <v>5</v>
      </c>
      <c r="P11">
        <v>78</v>
      </c>
    </row>
    <row r="12" spans="1:18">
      <c r="A12" t="s">
        <v>11</v>
      </c>
      <c r="B12">
        <v>498882</v>
      </c>
      <c r="C12">
        <v>534688</v>
      </c>
      <c r="D12">
        <v>533758</v>
      </c>
      <c r="E12">
        <v>530991</v>
      </c>
      <c r="F12">
        <v>528578</v>
      </c>
      <c r="G12">
        <v>513818</v>
      </c>
      <c r="H12">
        <v>523569</v>
      </c>
      <c r="I12">
        <v>525673</v>
      </c>
      <c r="K12">
        <v>121</v>
      </c>
      <c r="L12">
        <v>191</v>
      </c>
      <c r="M12">
        <v>188</v>
      </c>
      <c r="N12">
        <v>259</v>
      </c>
      <c r="O12">
        <v>252</v>
      </c>
      <c r="P12">
        <v>196</v>
      </c>
      <c r="Q12">
        <v>239</v>
      </c>
      <c r="R12">
        <v>229</v>
      </c>
    </row>
    <row r="13" spans="1:18">
      <c r="A13" t="s">
        <v>20</v>
      </c>
    </row>
    <row r="14" spans="1:18">
      <c r="A14" t="s">
        <v>12</v>
      </c>
      <c r="E14">
        <v>46</v>
      </c>
      <c r="F14">
        <v>131</v>
      </c>
      <c r="G14">
        <v>119</v>
      </c>
      <c r="H14">
        <v>307</v>
      </c>
      <c r="I14">
        <v>683</v>
      </c>
    </row>
    <row r="15" spans="1:18">
      <c r="A15" t="s">
        <v>13</v>
      </c>
      <c r="B15">
        <f>SUM(B3:B14)</f>
        <v>26505827</v>
      </c>
      <c r="C15">
        <f t="shared" ref="C15:R15" si="0">SUM(C3:C14)</f>
        <v>26563670</v>
      </c>
      <c r="D15">
        <f t="shared" si="0"/>
        <v>26563670</v>
      </c>
      <c r="E15">
        <f t="shared" si="0"/>
        <v>26563670</v>
      </c>
      <c r="F15">
        <f t="shared" si="0"/>
        <v>26563670</v>
      </c>
      <c r="G15">
        <f t="shared" si="0"/>
        <v>26563670</v>
      </c>
      <c r="H15">
        <f t="shared" si="0"/>
        <v>26563670</v>
      </c>
      <c r="I15">
        <f t="shared" si="0"/>
        <v>26563670</v>
      </c>
      <c r="K15">
        <f t="shared" si="0"/>
        <v>299793</v>
      </c>
      <c r="L15">
        <f t="shared" si="0"/>
        <v>300692</v>
      </c>
      <c r="M15">
        <f t="shared" si="0"/>
        <v>300692</v>
      </c>
      <c r="N15">
        <f t="shared" si="0"/>
        <v>300692</v>
      </c>
      <c r="O15">
        <f t="shared" si="0"/>
        <v>300692</v>
      </c>
      <c r="P15">
        <f t="shared" si="0"/>
        <v>300692</v>
      </c>
      <c r="Q15">
        <f t="shared" si="0"/>
        <v>300692</v>
      </c>
      <c r="R15">
        <f t="shared" si="0"/>
        <v>300692</v>
      </c>
    </row>
    <row r="16" spans="1:18">
      <c r="A16" t="s">
        <v>14</v>
      </c>
      <c r="B16">
        <f>SUM(B3:B7)</f>
        <v>24382325</v>
      </c>
      <c r="C16">
        <f t="shared" ref="C16:R16" si="1">SUM(C3:C7)</f>
        <v>23932318</v>
      </c>
      <c r="D16">
        <f t="shared" si="1"/>
        <v>23871753</v>
      </c>
      <c r="E16">
        <f t="shared" si="1"/>
        <v>22095834</v>
      </c>
      <c r="F16">
        <f t="shared" si="1"/>
        <v>22178096</v>
      </c>
      <c r="G16">
        <f t="shared" si="1"/>
        <v>21944138</v>
      </c>
      <c r="H16">
        <f t="shared" si="1"/>
        <v>21807181</v>
      </c>
      <c r="I16">
        <f t="shared" si="1"/>
        <v>21439605</v>
      </c>
      <c r="K16">
        <f t="shared" si="1"/>
        <v>299194</v>
      </c>
      <c r="L16">
        <f t="shared" si="1"/>
        <v>299789</v>
      </c>
      <c r="M16">
        <f t="shared" si="1"/>
        <v>299771</v>
      </c>
      <c r="N16">
        <f t="shared" si="1"/>
        <v>296325</v>
      </c>
      <c r="O16">
        <f t="shared" si="1"/>
        <v>295691</v>
      </c>
      <c r="P16">
        <f t="shared" si="1"/>
        <v>293631</v>
      </c>
      <c r="Q16">
        <f t="shared" si="1"/>
        <v>294243</v>
      </c>
      <c r="R16">
        <f t="shared" si="1"/>
        <v>292663</v>
      </c>
    </row>
    <row r="17" spans="1:18">
      <c r="A17" t="s">
        <v>19</v>
      </c>
      <c r="B17">
        <f>SUM(B8:B10,B14)</f>
        <v>1624518</v>
      </c>
      <c r="C17">
        <f t="shared" ref="C17:R17" si="2">SUM(C8:C10,C14)</f>
        <v>2096559</v>
      </c>
      <c r="D17">
        <f t="shared" si="2"/>
        <v>2158046</v>
      </c>
      <c r="E17">
        <f t="shared" si="2"/>
        <v>3936753</v>
      </c>
      <c r="F17">
        <f t="shared" si="2"/>
        <v>3856883</v>
      </c>
      <c r="G17">
        <f t="shared" si="2"/>
        <v>4105572</v>
      </c>
      <c r="H17">
        <f t="shared" si="2"/>
        <v>4232787</v>
      </c>
      <c r="I17">
        <f t="shared" si="2"/>
        <v>4598243</v>
      </c>
      <c r="K17">
        <f t="shared" si="2"/>
        <v>478</v>
      </c>
      <c r="L17">
        <f t="shared" si="2"/>
        <v>712</v>
      </c>
      <c r="M17">
        <f t="shared" si="2"/>
        <v>733</v>
      </c>
      <c r="N17">
        <f t="shared" si="2"/>
        <v>4108</v>
      </c>
      <c r="O17">
        <f t="shared" si="2"/>
        <v>4744</v>
      </c>
      <c r="P17">
        <f t="shared" si="2"/>
        <v>6787</v>
      </c>
      <c r="Q17">
        <f t="shared" si="2"/>
        <v>6210</v>
      </c>
      <c r="R17">
        <f t="shared" si="2"/>
        <v>7800</v>
      </c>
    </row>
    <row r="18" spans="1:18">
      <c r="A18" t="s">
        <v>16</v>
      </c>
      <c r="B18">
        <f>(B16/B15)*100</f>
        <v>91.98854651846932</v>
      </c>
      <c r="C18">
        <f t="shared" ref="C18:R18" si="3">(C16/C15)*100</f>
        <v>90.094169969736853</v>
      </c>
      <c r="D18">
        <f t="shared" si="3"/>
        <v>89.866170600673783</v>
      </c>
      <c r="E18">
        <f t="shared" si="3"/>
        <v>83.180652372206097</v>
      </c>
      <c r="F18">
        <f t="shared" si="3"/>
        <v>83.490330967068942</v>
      </c>
      <c r="G18">
        <f t="shared" si="3"/>
        <v>82.609586702439842</v>
      </c>
      <c r="H18">
        <f t="shared" si="3"/>
        <v>82.094006588698022</v>
      </c>
      <c r="I18">
        <f t="shared" si="3"/>
        <v>80.710252009605597</v>
      </c>
      <c r="K18">
        <f t="shared" si="3"/>
        <v>99.800195468206397</v>
      </c>
      <c r="L18">
        <f t="shared" si="3"/>
        <v>99.699692708818318</v>
      </c>
      <c r="M18">
        <f t="shared" si="3"/>
        <v>99.693706516967524</v>
      </c>
      <c r="N18">
        <f t="shared" si="3"/>
        <v>98.547683343753746</v>
      </c>
      <c r="O18">
        <f t="shared" si="3"/>
        <v>98.336836364120089</v>
      </c>
      <c r="P18">
        <f t="shared" si="3"/>
        <v>97.651749963417714</v>
      </c>
      <c r="Q18">
        <f t="shared" si="3"/>
        <v>97.855280486344824</v>
      </c>
      <c r="R18">
        <f t="shared" si="3"/>
        <v>97.329825868330389</v>
      </c>
    </row>
    <row r="19" spans="1:18">
      <c r="A19" t="s">
        <v>17</v>
      </c>
      <c r="B19">
        <f>(B17/B15)*100</f>
        <v>6.1289089376460506</v>
      </c>
      <c r="C19">
        <f t="shared" ref="C19:R19" si="4">(C17/C15)*100</f>
        <v>7.8925803550488309</v>
      </c>
      <c r="D19">
        <f t="shared" si="4"/>
        <v>8.124050630052249</v>
      </c>
      <c r="E19">
        <f t="shared" si="4"/>
        <v>14.82006439622236</v>
      </c>
      <c r="F19">
        <f t="shared" si="4"/>
        <v>14.519390581196049</v>
      </c>
      <c r="G19">
        <f t="shared" si="4"/>
        <v>15.45559028552907</v>
      </c>
      <c r="H19">
        <f t="shared" si="4"/>
        <v>15.934496249953414</v>
      </c>
      <c r="I19">
        <f t="shared" si="4"/>
        <v>17.310270004107114</v>
      </c>
      <c r="K19">
        <f t="shared" si="4"/>
        <v>0.15944334924431192</v>
      </c>
      <c r="L19">
        <f t="shared" si="4"/>
        <v>0.23678714432043418</v>
      </c>
      <c r="M19">
        <f t="shared" si="4"/>
        <v>0.24377103481303128</v>
      </c>
      <c r="N19">
        <f t="shared" si="4"/>
        <v>1.3661820068375614</v>
      </c>
      <c r="O19">
        <f t="shared" si="4"/>
        <v>1.577694118899073</v>
      </c>
      <c r="P19">
        <f t="shared" si="4"/>
        <v>2.2571268939645885</v>
      </c>
      <c r="Q19">
        <f t="shared" si="4"/>
        <v>2.0652361885251351</v>
      </c>
      <c r="R19">
        <f t="shared" si="4"/>
        <v>2.5940164686789142</v>
      </c>
    </row>
  </sheetData>
  <mergeCells count="2">
    <mergeCell ref="B1:I1"/>
    <mergeCell ref="K1:R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8ABED680D8A44E86C595BDEED85021" ma:contentTypeVersion="15" ma:contentTypeDescription="Create a new document." ma:contentTypeScope="" ma:versionID="df099e573e1ad22b40bff21980319bbf">
  <xsd:schema xmlns:xsd="http://www.w3.org/2001/XMLSchema" xmlns:xs="http://www.w3.org/2001/XMLSchema" xmlns:p="http://schemas.microsoft.com/office/2006/metadata/properties" xmlns:ns2="18c727c9-ff83-4625-be2f-7c881076bf62" xmlns:ns3="2824c5e6-75b9-4dd9-bc67-e55a4c26644b" targetNamespace="http://schemas.microsoft.com/office/2006/metadata/properties" ma:root="true" ma:fieldsID="891417425d2641725aac34ce82f71249" ns2:_="" ns3:_="">
    <xsd:import namespace="18c727c9-ff83-4625-be2f-7c881076bf62"/>
    <xsd:import namespace="2824c5e6-75b9-4dd9-bc67-e55a4c2664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727c9-ff83-4625-be2f-7c881076bf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24c5e6-75b9-4dd9-bc67-e55a4c2664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b1c8a83-cf3d-40a3-93ad-75868b7965c2}" ma:internalName="TaxCatchAll" ma:showField="CatchAllData" ma:web="2824c5e6-75b9-4dd9-bc67-e55a4c2664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c727c9-ff83-4625-be2f-7c881076bf62">
      <Terms xmlns="http://schemas.microsoft.com/office/infopath/2007/PartnerControls"/>
    </lcf76f155ced4ddcb4097134ff3c332f>
    <TaxCatchAll xmlns="2824c5e6-75b9-4dd9-bc67-e55a4c26644b" xsi:nil="true"/>
  </documentManagement>
</p:properties>
</file>

<file path=customXml/itemProps1.xml><?xml version="1.0" encoding="utf-8"?>
<ds:datastoreItem xmlns:ds="http://schemas.openxmlformats.org/officeDocument/2006/customXml" ds:itemID="{16938464-710A-421E-BF00-EBC98219540D}"/>
</file>

<file path=customXml/itemProps2.xml><?xml version="1.0" encoding="utf-8"?>
<ds:datastoreItem xmlns:ds="http://schemas.openxmlformats.org/officeDocument/2006/customXml" ds:itemID="{42AE8BD7-4B2C-497F-A061-0EF800302277}"/>
</file>

<file path=customXml/itemProps3.xml><?xml version="1.0" encoding="utf-8"?>
<ds:datastoreItem xmlns:ds="http://schemas.openxmlformats.org/officeDocument/2006/customXml" ds:itemID="{B1001391-0AC2-46DD-8CAB-00C7FA640A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</dc:creator>
  <cp:keywords/>
  <dc:description/>
  <cp:lastModifiedBy/>
  <cp:revision/>
  <dcterms:created xsi:type="dcterms:W3CDTF">2023-03-28T15:09:02Z</dcterms:created>
  <dcterms:modified xsi:type="dcterms:W3CDTF">2024-04-03T19:09:32Z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0x0101005B8ABED680D8A44E86C595BDEED85021</vt:lpwstr>
  </property>
  <property fmtid="{D5CDD505-2E9C-101B-9397-08002B2CF9AE}" pid="3" name="MediaServiceImageTags">
    <vt:lpwstr/>
  </property>
</Properties>
</file>