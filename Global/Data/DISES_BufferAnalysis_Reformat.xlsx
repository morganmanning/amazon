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rganmanning/Documents/amazon/Global/Data/"/>
    </mc:Choice>
  </mc:AlternateContent>
  <xr:revisionPtr revIDLastSave="0" documentId="13_ncr:1_{6E6DB896-8561-DA48-844A-2A720D91E633}" xr6:coauthVersionLast="47" xr6:coauthVersionMax="47" xr10:uidLastSave="{00000000-0000-0000-0000-000000000000}"/>
  <bookViews>
    <workbookView xWindow="0" yWindow="500" windowWidth="28800" windowHeight="15720" xr2:uid="{2C880CBE-C4A7-4D1F-9C9B-3FC174A700D7}"/>
  </bookViews>
  <sheets>
    <sheet name="Sinangoe" sheetId="4" r:id="rId1"/>
    <sheet name="Zabalo" sheetId="7" r:id="rId2"/>
    <sheet name="Siona" sheetId="9" r:id="rId3"/>
    <sheet name="Siekopai" sheetId="10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4" l="1"/>
  <c r="B18" i="10"/>
  <c r="B17" i="10"/>
  <c r="B19" i="10" s="1"/>
  <c r="K18" i="4"/>
  <c r="K20" i="4" s="1"/>
  <c r="L18" i="4"/>
  <c r="L20" i="4" s="1"/>
  <c r="M18" i="4"/>
  <c r="M20" i="4" s="1"/>
  <c r="N18" i="4"/>
  <c r="N20" i="4" s="1"/>
  <c r="O18" i="4"/>
  <c r="O20" i="4" s="1"/>
  <c r="P18" i="4"/>
  <c r="P20" i="4" s="1"/>
  <c r="Q18" i="4"/>
  <c r="Q20" i="4" s="1"/>
  <c r="R18" i="4"/>
  <c r="R20" i="4" s="1"/>
  <c r="K17" i="4"/>
  <c r="K19" i="4" s="1"/>
  <c r="L17" i="4"/>
  <c r="L19" i="4" s="1"/>
  <c r="M17" i="4"/>
  <c r="M19" i="4" s="1"/>
  <c r="N17" i="4"/>
  <c r="N19" i="4" s="1"/>
  <c r="O17" i="4"/>
  <c r="O19" i="4" s="1"/>
  <c r="P17" i="4"/>
  <c r="P19" i="4" s="1"/>
  <c r="Q17" i="4"/>
  <c r="Q19" i="4" s="1"/>
  <c r="R17" i="4"/>
  <c r="R19" i="4" s="1"/>
  <c r="K16" i="4"/>
  <c r="L16" i="4"/>
  <c r="M16" i="4"/>
  <c r="N16" i="4"/>
  <c r="O16" i="4"/>
  <c r="P16" i="4"/>
  <c r="Q16" i="4"/>
  <c r="R16" i="4"/>
  <c r="C17" i="4"/>
  <c r="C19" i="4" s="1"/>
  <c r="D17" i="4"/>
  <c r="E17" i="4"/>
  <c r="E19" i="4" s="1"/>
  <c r="F17" i="4"/>
  <c r="F19" i="4" s="1"/>
  <c r="G17" i="4"/>
  <c r="G19" i="4" s="1"/>
  <c r="H17" i="4"/>
  <c r="I17" i="4"/>
  <c r="I19" i="4" s="1"/>
  <c r="C16" i="4"/>
  <c r="D16" i="4"/>
  <c r="E16" i="4"/>
  <c r="F16" i="4"/>
  <c r="G16" i="4"/>
  <c r="H16" i="4"/>
  <c r="I16" i="4"/>
  <c r="C18" i="4"/>
  <c r="D18" i="4"/>
  <c r="E18" i="4"/>
  <c r="F18" i="4"/>
  <c r="G18" i="4"/>
  <c r="H18" i="4"/>
  <c r="I18" i="4"/>
  <c r="B17" i="4"/>
  <c r="B16" i="4"/>
  <c r="D19" i="4"/>
  <c r="H19" i="4"/>
  <c r="L20" i="7"/>
  <c r="K18" i="7"/>
  <c r="K20" i="7" s="1"/>
  <c r="L18" i="7"/>
  <c r="M18" i="7"/>
  <c r="M20" i="7" s="1"/>
  <c r="N18" i="7"/>
  <c r="N20" i="7" s="1"/>
  <c r="O18" i="7"/>
  <c r="O20" i="7" s="1"/>
  <c r="P18" i="7"/>
  <c r="P20" i="7" s="1"/>
  <c r="Q18" i="7"/>
  <c r="Q20" i="7" s="1"/>
  <c r="R18" i="7"/>
  <c r="R20" i="7" s="1"/>
  <c r="K17" i="7"/>
  <c r="K19" i="7" s="1"/>
  <c r="L17" i="7"/>
  <c r="L19" i="7" s="1"/>
  <c r="M17" i="7"/>
  <c r="M19" i="7" s="1"/>
  <c r="N17" i="7"/>
  <c r="N19" i="7" s="1"/>
  <c r="O17" i="7"/>
  <c r="O19" i="7" s="1"/>
  <c r="P17" i="7"/>
  <c r="P19" i="7" s="1"/>
  <c r="Q17" i="7"/>
  <c r="Q19" i="7" s="1"/>
  <c r="R17" i="7"/>
  <c r="R19" i="7" s="1"/>
  <c r="K16" i="7"/>
  <c r="L16" i="7"/>
  <c r="M16" i="7"/>
  <c r="N16" i="7"/>
  <c r="O16" i="7"/>
  <c r="P16" i="7"/>
  <c r="Q16" i="7"/>
  <c r="R16" i="7"/>
  <c r="B16" i="7"/>
  <c r="C18" i="9"/>
  <c r="D18" i="9"/>
  <c r="E18" i="9"/>
  <c r="F18" i="9"/>
  <c r="G18" i="9"/>
  <c r="H18" i="9"/>
  <c r="I18" i="9"/>
  <c r="K18" i="9"/>
  <c r="L18" i="9"/>
  <c r="M18" i="9"/>
  <c r="N18" i="9"/>
  <c r="O18" i="9"/>
  <c r="P18" i="9"/>
  <c r="Q18" i="9"/>
  <c r="R18" i="9"/>
  <c r="C17" i="9"/>
  <c r="D17" i="9"/>
  <c r="E17" i="9"/>
  <c r="F17" i="9"/>
  <c r="G17" i="9"/>
  <c r="H17" i="9"/>
  <c r="I17" i="9"/>
  <c r="K17" i="9"/>
  <c r="L17" i="9"/>
  <c r="M17" i="9"/>
  <c r="N17" i="9"/>
  <c r="O17" i="9"/>
  <c r="O19" i="9" s="1"/>
  <c r="P17" i="9"/>
  <c r="P19" i="9" s="1"/>
  <c r="Q17" i="9"/>
  <c r="R17" i="9"/>
  <c r="B18" i="9"/>
  <c r="B17" i="9"/>
  <c r="C16" i="9"/>
  <c r="D16" i="9"/>
  <c r="E16" i="9"/>
  <c r="F16" i="9"/>
  <c r="G16" i="9"/>
  <c r="H16" i="9"/>
  <c r="I16" i="9"/>
  <c r="I19" i="9" s="1"/>
  <c r="K16" i="9"/>
  <c r="L16" i="9"/>
  <c r="M16" i="9"/>
  <c r="N16" i="9"/>
  <c r="O16" i="9"/>
  <c r="P16" i="9"/>
  <c r="Q16" i="9"/>
  <c r="R16" i="9"/>
  <c r="B16" i="9"/>
  <c r="K18" i="10"/>
  <c r="L18" i="10"/>
  <c r="M18" i="10"/>
  <c r="N18" i="10"/>
  <c r="O18" i="10"/>
  <c r="P18" i="10"/>
  <c r="P20" i="10" s="1"/>
  <c r="Q18" i="10"/>
  <c r="R18" i="10"/>
  <c r="K17" i="10"/>
  <c r="L17" i="10"/>
  <c r="L19" i="10" s="1"/>
  <c r="M17" i="10"/>
  <c r="N17" i="10"/>
  <c r="O17" i="10"/>
  <c r="P17" i="10"/>
  <c r="P19" i="10" s="1"/>
  <c r="Q17" i="10"/>
  <c r="R17" i="10"/>
  <c r="K20" i="10"/>
  <c r="L20" i="10"/>
  <c r="O20" i="10"/>
  <c r="K19" i="10"/>
  <c r="O19" i="10"/>
  <c r="F20" i="10"/>
  <c r="B20" i="10"/>
  <c r="F19" i="10"/>
  <c r="C18" i="10"/>
  <c r="C20" i="10" s="1"/>
  <c r="D18" i="10"/>
  <c r="D20" i="10" s="1"/>
  <c r="E18" i="10"/>
  <c r="F18" i="10"/>
  <c r="G18" i="10"/>
  <c r="G20" i="10" s="1"/>
  <c r="H18" i="10"/>
  <c r="H20" i="10" s="1"/>
  <c r="I18" i="10"/>
  <c r="C17" i="10"/>
  <c r="C19" i="10" s="1"/>
  <c r="D17" i="10"/>
  <c r="D19" i="10" s="1"/>
  <c r="E17" i="10"/>
  <c r="F17" i="10"/>
  <c r="G17" i="10"/>
  <c r="G19" i="10" s="1"/>
  <c r="H17" i="10"/>
  <c r="H19" i="10" s="1"/>
  <c r="I17" i="10"/>
  <c r="C16" i="10"/>
  <c r="D16" i="10"/>
  <c r="E16" i="10"/>
  <c r="E20" i="10" s="1"/>
  <c r="F16" i="10"/>
  <c r="G16" i="10"/>
  <c r="H16" i="10"/>
  <c r="I16" i="10"/>
  <c r="I20" i="10" s="1"/>
  <c r="K16" i="10"/>
  <c r="L16" i="10"/>
  <c r="M16" i="10"/>
  <c r="M20" i="10" s="1"/>
  <c r="N16" i="10"/>
  <c r="N19" i="10" s="1"/>
  <c r="O16" i="10"/>
  <c r="P16" i="10"/>
  <c r="Q16" i="10"/>
  <c r="R16" i="10"/>
  <c r="B16" i="10"/>
  <c r="B17" i="7"/>
  <c r="I18" i="7"/>
  <c r="H18" i="7"/>
  <c r="G18" i="7"/>
  <c r="F18" i="7"/>
  <c r="E18" i="7"/>
  <c r="D18" i="7"/>
  <c r="C18" i="7"/>
  <c r="B18" i="7"/>
  <c r="B20" i="7" s="1"/>
  <c r="I17" i="7"/>
  <c r="H17" i="7"/>
  <c r="G17" i="7"/>
  <c r="F17" i="7"/>
  <c r="E17" i="7"/>
  <c r="D17" i="7"/>
  <c r="C17" i="7"/>
  <c r="B19" i="7"/>
  <c r="I16" i="7"/>
  <c r="I19" i="7" s="1"/>
  <c r="H16" i="7"/>
  <c r="H19" i="7" s="1"/>
  <c r="G16" i="7"/>
  <c r="F16" i="7"/>
  <c r="E16" i="7"/>
  <c r="D16" i="7"/>
  <c r="C16" i="7"/>
  <c r="B19" i="4"/>
  <c r="M19" i="10" l="1"/>
  <c r="N20" i="10"/>
  <c r="R19" i="10"/>
  <c r="R20" i="10"/>
  <c r="I19" i="10"/>
  <c r="E19" i="10"/>
  <c r="Q19" i="10"/>
  <c r="Q20" i="10"/>
  <c r="C19" i="9"/>
  <c r="C20" i="7"/>
  <c r="C19" i="7"/>
  <c r="D19" i="7"/>
  <c r="D20" i="7"/>
  <c r="E20" i="7"/>
  <c r="R20" i="9"/>
  <c r="E20" i="9"/>
  <c r="N19" i="9"/>
  <c r="Q20" i="9"/>
  <c r="M20" i="9"/>
  <c r="N20" i="9"/>
  <c r="Q19" i="9"/>
  <c r="M19" i="9"/>
  <c r="D19" i="9"/>
  <c r="P20" i="9"/>
  <c r="G20" i="9"/>
  <c r="C20" i="9"/>
  <c r="K19" i="9"/>
  <c r="O20" i="9"/>
  <c r="F20" i="9"/>
  <c r="I20" i="4"/>
  <c r="B20" i="4"/>
  <c r="C20" i="4"/>
  <c r="D20" i="4"/>
  <c r="G20" i="4"/>
  <c r="H20" i="4"/>
  <c r="F20" i="4"/>
  <c r="E20" i="4"/>
  <c r="F20" i="7"/>
  <c r="F19" i="7"/>
  <c r="E19" i="7"/>
  <c r="G20" i="7"/>
  <c r="H20" i="7"/>
  <c r="I20" i="7"/>
  <c r="G19" i="7"/>
  <c r="D20" i="9"/>
  <c r="L19" i="9"/>
  <c r="H19" i="9"/>
  <c r="L20" i="9"/>
  <c r="B19" i="9"/>
  <c r="G19" i="9"/>
  <c r="K20" i="9"/>
  <c r="B20" i="9"/>
  <c r="F19" i="9"/>
  <c r="I20" i="9"/>
  <c r="R19" i="9"/>
  <c r="E19" i="9"/>
  <c r="H20" i="9"/>
</calcChain>
</file>

<file path=xl/sharedStrings.xml><?xml version="1.0" encoding="utf-8"?>
<sst xmlns="http://schemas.openxmlformats.org/spreadsheetml/2006/main" count="208" uniqueCount="26">
  <si>
    <t>Outside</t>
  </si>
  <si>
    <t>Inside</t>
  </si>
  <si>
    <t>Wetland</t>
  </si>
  <si>
    <t>Grassland</t>
  </si>
  <si>
    <t>Farming</t>
  </si>
  <si>
    <t>Water</t>
  </si>
  <si>
    <t>Mining</t>
  </si>
  <si>
    <t>Total</t>
  </si>
  <si>
    <t>Glacier</t>
  </si>
  <si>
    <t>Siekopai</t>
  </si>
  <si>
    <t>Year</t>
  </si>
  <si>
    <t>ForestFormation</t>
  </si>
  <si>
    <t>FloodedForest</t>
  </si>
  <si>
    <t>OtherNonForestNaturalArea</t>
  </si>
  <si>
    <t>Siona</t>
  </si>
  <si>
    <t>Zabalo</t>
  </si>
  <si>
    <t>Sinangoe</t>
  </si>
  <si>
    <t>InOut</t>
  </si>
  <si>
    <t>Community</t>
  </si>
  <si>
    <t>UrbanInfrastructure</t>
  </si>
  <si>
    <t>OtherNonVegetatedArea</t>
  </si>
  <si>
    <t>NonObserved</t>
  </si>
  <si>
    <t>CombinedNaturalArea</t>
  </si>
  <si>
    <t>CombinedNonNaturalArea</t>
  </si>
  <si>
    <t>PercentNaturalArea</t>
  </si>
  <si>
    <t>PercentNonNaturalArea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</si>
</sst>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815A8-81F6-40D4-BD03-3A4584D5F703}">
  <dimension ref="A1:R20"/>
  <sheetViews>
    <sheetView tabSelected="1" workbookViewId="0">
      <selection activeCell="B23" sqref="B23"/>
    </sheetView>
  </sheetViews>
  <sheetFormatPr baseColWidth="10" defaultColWidth="8.83203125" defaultRowHeight="15" x14ac:dyDescent="0.2"/>
  <cols>
    <col min="1" max="1" width="29.5" customWidth="1"/>
  </cols>
  <sheetData>
    <row r="1" spans="1:18" x14ac:dyDescent="0.2">
      <c r="A1" t="s">
        <v>18</v>
      </c>
      <c r="B1" t="s">
        <v>16</v>
      </c>
      <c r="C1" t="s">
        <v>16</v>
      </c>
      <c r="D1" t="s">
        <v>16</v>
      </c>
      <c r="E1" t="s">
        <v>16</v>
      </c>
      <c r="F1" t="s">
        <v>16</v>
      </c>
      <c r="G1" t="s">
        <v>16</v>
      </c>
      <c r="H1" t="s">
        <v>16</v>
      </c>
      <c r="I1" t="s">
        <v>16</v>
      </c>
      <c r="K1" t="s">
        <v>16</v>
      </c>
      <c r="L1" t="s">
        <v>16</v>
      </c>
      <c r="M1" t="s">
        <v>16</v>
      </c>
      <c r="N1" t="s">
        <v>16</v>
      </c>
      <c r="O1" t="s">
        <v>16</v>
      </c>
      <c r="P1" t="s">
        <v>16</v>
      </c>
      <c r="Q1" t="s">
        <v>16</v>
      </c>
      <c r="R1" t="s">
        <v>16</v>
      </c>
    </row>
    <row r="2" spans="1:18" x14ac:dyDescent="0.2">
      <c r="A2" t="s">
        <v>17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K2" s="1" t="s">
        <v>1</v>
      </c>
      <c r="L2" s="1" t="s">
        <v>1</v>
      </c>
      <c r="M2" s="1" t="s">
        <v>1</v>
      </c>
      <c r="N2" s="1" t="s">
        <v>1</v>
      </c>
      <c r="O2" s="1" t="s">
        <v>1</v>
      </c>
      <c r="P2" s="1" t="s">
        <v>1</v>
      </c>
      <c r="Q2" s="1" t="s">
        <v>1</v>
      </c>
      <c r="R2" s="1" t="s">
        <v>1</v>
      </c>
    </row>
    <row r="3" spans="1:18" x14ac:dyDescent="0.2">
      <c r="A3" s="2" t="s">
        <v>10</v>
      </c>
      <c r="B3">
        <v>1985</v>
      </c>
      <c r="C3">
        <v>1990</v>
      </c>
      <c r="D3">
        <v>1995</v>
      </c>
      <c r="E3">
        <v>2000</v>
      </c>
      <c r="F3">
        <v>2005</v>
      </c>
      <c r="G3">
        <v>2010</v>
      </c>
      <c r="H3">
        <v>2015</v>
      </c>
      <c r="I3">
        <v>2020</v>
      </c>
      <c r="K3">
        <v>1985</v>
      </c>
      <c r="L3">
        <v>1990</v>
      </c>
      <c r="M3">
        <v>1995</v>
      </c>
      <c r="N3">
        <v>2000</v>
      </c>
      <c r="O3">
        <v>2005</v>
      </c>
      <c r="P3">
        <v>2010</v>
      </c>
      <c r="Q3">
        <v>2015</v>
      </c>
      <c r="R3">
        <v>2020</v>
      </c>
    </row>
    <row r="4" spans="1:18" x14ac:dyDescent="0.2">
      <c r="A4" s="2" t="s">
        <v>11</v>
      </c>
      <c r="B4">
        <v>16252091</v>
      </c>
      <c r="C4">
        <v>15960295</v>
      </c>
      <c r="D4">
        <v>15983323</v>
      </c>
      <c r="E4">
        <v>14793659</v>
      </c>
      <c r="F4">
        <v>14933851</v>
      </c>
      <c r="G4">
        <v>14952856</v>
      </c>
      <c r="H4">
        <v>14767470</v>
      </c>
      <c r="I4">
        <v>14362146</v>
      </c>
      <c r="K4">
        <v>330618</v>
      </c>
      <c r="L4">
        <v>332493</v>
      </c>
      <c r="M4">
        <v>332443</v>
      </c>
      <c r="N4">
        <v>331987</v>
      </c>
      <c r="O4">
        <v>331837</v>
      </c>
      <c r="P4">
        <v>332270</v>
      </c>
      <c r="Q4">
        <v>332402</v>
      </c>
      <c r="R4">
        <v>332528</v>
      </c>
    </row>
    <row r="5" spans="1:18" x14ac:dyDescent="0.2">
      <c r="A5" s="2" t="s">
        <v>12</v>
      </c>
      <c r="B5">
        <v>1251</v>
      </c>
      <c r="C5">
        <v>516</v>
      </c>
      <c r="D5">
        <v>516</v>
      </c>
      <c r="E5">
        <v>26</v>
      </c>
      <c r="F5">
        <v>112</v>
      </c>
      <c r="G5">
        <v>110</v>
      </c>
      <c r="H5">
        <v>199</v>
      </c>
      <c r="I5">
        <v>1072</v>
      </c>
    </row>
    <row r="6" spans="1:18" x14ac:dyDescent="0.2">
      <c r="A6" s="2" t="s">
        <v>2</v>
      </c>
      <c r="B6">
        <v>14169</v>
      </c>
      <c r="C6">
        <v>13811</v>
      </c>
      <c r="D6">
        <v>13626</v>
      </c>
      <c r="E6">
        <v>13359</v>
      </c>
      <c r="F6">
        <v>13263</v>
      </c>
      <c r="G6">
        <v>13747</v>
      </c>
      <c r="H6">
        <v>13192</v>
      </c>
      <c r="I6">
        <v>13834</v>
      </c>
    </row>
    <row r="7" spans="1:18" x14ac:dyDescent="0.2">
      <c r="A7" s="2" t="s">
        <v>3</v>
      </c>
      <c r="B7">
        <v>328105</v>
      </c>
      <c r="C7">
        <v>329438</v>
      </c>
      <c r="D7">
        <v>325780</v>
      </c>
      <c r="E7">
        <v>323933</v>
      </c>
      <c r="F7">
        <v>322530</v>
      </c>
      <c r="G7">
        <v>321056</v>
      </c>
      <c r="H7">
        <v>326416</v>
      </c>
      <c r="I7">
        <v>327104</v>
      </c>
    </row>
    <row r="8" spans="1:18" x14ac:dyDescent="0.2">
      <c r="A8" s="2" t="s">
        <v>13</v>
      </c>
      <c r="B8">
        <v>700118</v>
      </c>
      <c r="C8">
        <v>714026</v>
      </c>
      <c r="D8">
        <v>735296</v>
      </c>
      <c r="E8">
        <v>618095</v>
      </c>
      <c r="F8">
        <v>559836</v>
      </c>
      <c r="G8">
        <v>573317</v>
      </c>
      <c r="H8">
        <v>574630</v>
      </c>
      <c r="I8">
        <v>634781</v>
      </c>
      <c r="M8">
        <v>22</v>
      </c>
      <c r="N8">
        <v>239</v>
      </c>
      <c r="O8">
        <v>209</v>
      </c>
      <c r="P8">
        <v>12</v>
      </c>
      <c r="Q8">
        <v>31</v>
      </c>
      <c r="R8">
        <v>60</v>
      </c>
    </row>
    <row r="9" spans="1:18" x14ac:dyDescent="0.2">
      <c r="A9" s="2" t="s">
        <v>4</v>
      </c>
      <c r="B9">
        <v>2031792</v>
      </c>
      <c r="C9">
        <v>2393371</v>
      </c>
      <c r="D9">
        <v>2344552</v>
      </c>
      <c r="E9">
        <v>3845854</v>
      </c>
      <c r="F9">
        <v>3772182</v>
      </c>
      <c r="G9">
        <v>3756932</v>
      </c>
      <c r="H9">
        <v>3905390</v>
      </c>
      <c r="I9">
        <v>4210096</v>
      </c>
      <c r="K9">
        <v>10051</v>
      </c>
      <c r="L9">
        <v>10178</v>
      </c>
      <c r="M9">
        <v>10182</v>
      </c>
      <c r="N9">
        <v>10461</v>
      </c>
      <c r="O9">
        <v>10659</v>
      </c>
      <c r="P9">
        <v>10620</v>
      </c>
      <c r="Q9">
        <v>10493</v>
      </c>
      <c r="R9">
        <v>9995</v>
      </c>
    </row>
    <row r="10" spans="1:18" x14ac:dyDescent="0.2">
      <c r="A10" s="2" t="s">
        <v>19</v>
      </c>
      <c r="B10">
        <v>28070</v>
      </c>
      <c r="C10">
        <v>36592</v>
      </c>
      <c r="D10">
        <v>36686</v>
      </c>
      <c r="E10">
        <v>47094</v>
      </c>
      <c r="F10">
        <v>60052</v>
      </c>
      <c r="G10">
        <v>76341</v>
      </c>
      <c r="H10">
        <v>87068</v>
      </c>
      <c r="I10">
        <v>100101</v>
      </c>
    </row>
    <row r="11" spans="1:18" x14ac:dyDescent="0.2">
      <c r="A11" s="2" t="s">
        <v>20</v>
      </c>
      <c r="B11">
        <v>318353</v>
      </c>
      <c r="C11">
        <v>318190</v>
      </c>
      <c r="D11">
        <v>327943</v>
      </c>
      <c r="E11">
        <v>121814</v>
      </c>
      <c r="F11">
        <v>110822</v>
      </c>
      <c r="G11">
        <v>93374</v>
      </c>
      <c r="H11">
        <v>101489</v>
      </c>
      <c r="I11">
        <v>119370</v>
      </c>
      <c r="K11">
        <v>354</v>
      </c>
      <c r="L11">
        <v>362</v>
      </c>
      <c r="M11">
        <v>387</v>
      </c>
      <c r="N11">
        <v>246</v>
      </c>
      <c r="O11">
        <v>175</v>
      </c>
      <c r="P11">
        <v>122</v>
      </c>
      <c r="Q11">
        <v>48</v>
      </c>
      <c r="R11">
        <v>75</v>
      </c>
    </row>
    <row r="12" spans="1:18" x14ac:dyDescent="0.2">
      <c r="A12" s="2" t="s">
        <v>21</v>
      </c>
      <c r="B12">
        <v>36883</v>
      </c>
      <c r="C12">
        <v>38143</v>
      </c>
      <c r="D12">
        <v>37114</v>
      </c>
      <c r="E12">
        <v>38824</v>
      </c>
      <c r="F12">
        <v>39152</v>
      </c>
      <c r="G12">
        <v>39022</v>
      </c>
      <c r="H12">
        <v>39530</v>
      </c>
      <c r="I12">
        <v>39777</v>
      </c>
    </row>
    <row r="13" spans="1:18" x14ac:dyDescent="0.2">
      <c r="A13" s="2" t="s">
        <v>5</v>
      </c>
      <c r="B13">
        <v>182260</v>
      </c>
      <c r="C13">
        <v>202113</v>
      </c>
      <c r="D13">
        <v>202023</v>
      </c>
      <c r="E13">
        <v>206046</v>
      </c>
      <c r="F13">
        <v>198279</v>
      </c>
      <c r="G13">
        <v>183369</v>
      </c>
      <c r="H13">
        <v>195659</v>
      </c>
      <c r="I13">
        <v>200768</v>
      </c>
      <c r="K13">
        <v>1251</v>
      </c>
      <c r="L13">
        <v>1274</v>
      </c>
      <c r="M13">
        <v>1273</v>
      </c>
      <c r="N13">
        <v>1374</v>
      </c>
      <c r="O13">
        <v>1427</v>
      </c>
      <c r="P13">
        <v>1283</v>
      </c>
      <c r="Q13">
        <v>1333</v>
      </c>
      <c r="R13">
        <v>1649</v>
      </c>
    </row>
    <row r="14" spans="1:18" x14ac:dyDescent="0.2">
      <c r="A14" s="2" t="s">
        <v>8</v>
      </c>
      <c r="B14">
        <v>20890</v>
      </c>
      <c r="C14">
        <v>17550</v>
      </c>
      <c r="D14">
        <v>17186</v>
      </c>
      <c r="E14">
        <v>15039</v>
      </c>
      <c r="F14">
        <v>13815</v>
      </c>
      <c r="G14">
        <v>13625</v>
      </c>
      <c r="H14">
        <v>12673</v>
      </c>
      <c r="I14">
        <v>11805</v>
      </c>
    </row>
    <row r="15" spans="1:18" x14ac:dyDescent="0.2">
      <c r="A15" s="2" t="s">
        <v>6</v>
      </c>
      <c r="E15">
        <v>302</v>
      </c>
      <c r="F15">
        <v>151</v>
      </c>
      <c r="G15">
        <v>296</v>
      </c>
      <c r="H15">
        <v>329</v>
      </c>
      <c r="I15">
        <v>3191</v>
      </c>
    </row>
    <row r="16" spans="1:18" x14ac:dyDescent="0.2">
      <c r="A16" s="2" t="s">
        <v>7</v>
      </c>
      <c r="B16">
        <f>SUM(B4:B15)</f>
        <v>19913982</v>
      </c>
      <c r="C16">
        <f t="shared" ref="C16:I16" si="0">SUM(C4:C15)</f>
        <v>20024045</v>
      </c>
      <c r="D16">
        <f t="shared" si="0"/>
        <v>20024045</v>
      </c>
      <c r="E16">
        <f t="shared" si="0"/>
        <v>20024045</v>
      </c>
      <c r="F16">
        <f t="shared" si="0"/>
        <v>20024045</v>
      </c>
      <c r="G16">
        <f t="shared" si="0"/>
        <v>20024045</v>
      </c>
      <c r="H16">
        <f t="shared" si="0"/>
        <v>20024045</v>
      </c>
      <c r="I16">
        <f t="shared" si="0"/>
        <v>20024045</v>
      </c>
      <c r="K16">
        <f t="shared" ref="K16" si="1">SUM(K4:K15)</f>
        <v>342274</v>
      </c>
      <c r="L16">
        <f t="shared" ref="L16" si="2">SUM(L4:L15)</f>
        <v>344307</v>
      </c>
      <c r="M16">
        <f t="shared" ref="M16" si="3">SUM(M4:M15)</f>
        <v>344307</v>
      </c>
      <c r="N16">
        <f t="shared" ref="N16" si="4">SUM(N4:N15)</f>
        <v>344307</v>
      </c>
      <c r="O16">
        <f t="shared" ref="O16" si="5">SUM(O4:O15)</f>
        <v>344307</v>
      </c>
      <c r="P16">
        <f t="shared" ref="P16" si="6">SUM(P4:P15)</f>
        <v>344307</v>
      </c>
      <c r="Q16">
        <f t="shared" ref="Q16" si="7">SUM(Q4:Q15)</f>
        <v>344307</v>
      </c>
      <c r="R16">
        <f t="shared" ref="R16" si="8">SUM(R4:R15)</f>
        <v>344307</v>
      </c>
    </row>
    <row r="17" spans="1:18" x14ac:dyDescent="0.2">
      <c r="A17" s="2" t="s">
        <v>22</v>
      </c>
      <c r="B17">
        <f>SUM(B4:B8)</f>
        <v>17295734</v>
      </c>
      <c r="C17">
        <f t="shared" ref="C17:R17" si="9">SUM(C4:C8)</f>
        <v>17018086</v>
      </c>
      <c r="D17">
        <f t="shared" si="9"/>
        <v>17058541</v>
      </c>
      <c r="E17">
        <f t="shared" si="9"/>
        <v>15749072</v>
      </c>
      <c r="F17">
        <f t="shared" si="9"/>
        <v>15829592</v>
      </c>
      <c r="G17">
        <f t="shared" si="9"/>
        <v>15861086</v>
      </c>
      <c r="H17">
        <f t="shared" si="9"/>
        <v>15681907</v>
      </c>
      <c r="I17">
        <f t="shared" si="9"/>
        <v>15338937</v>
      </c>
      <c r="K17">
        <f t="shared" si="9"/>
        <v>330618</v>
      </c>
      <c r="L17">
        <f t="shared" si="9"/>
        <v>332493</v>
      </c>
      <c r="M17">
        <f t="shared" si="9"/>
        <v>332465</v>
      </c>
      <c r="N17">
        <f t="shared" si="9"/>
        <v>332226</v>
      </c>
      <c r="O17">
        <f t="shared" si="9"/>
        <v>332046</v>
      </c>
      <c r="P17">
        <f t="shared" si="9"/>
        <v>332282</v>
      </c>
      <c r="Q17">
        <f t="shared" si="9"/>
        <v>332433</v>
      </c>
      <c r="R17">
        <f t="shared" si="9"/>
        <v>332588</v>
      </c>
    </row>
    <row r="18" spans="1:18" x14ac:dyDescent="0.2">
      <c r="A18" t="s">
        <v>23</v>
      </c>
      <c r="B18">
        <f>SUM(B9,B10,B11,B15)</f>
        <v>2378215</v>
      </c>
      <c r="C18">
        <f t="shared" ref="C18:R18" si="10">SUM(C9,C10,C11,C15)</f>
        <v>2748153</v>
      </c>
      <c r="D18">
        <f t="shared" si="10"/>
        <v>2709181</v>
      </c>
      <c r="E18">
        <f t="shared" si="10"/>
        <v>4015064</v>
      </c>
      <c r="F18">
        <f t="shared" si="10"/>
        <v>3943207</v>
      </c>
      <c r="G18">
        <f t="shared" si="10"/>
        <v>3926943</v>
      </c>
      <c r="H18">
        <f t="shared" si="10"/>
        <v>4094276</v>
      </c>
      <c r="I18">
        <f t="shared" si="10"/>
        <v>4432758</v>
      </c>
      <c r="K18">
        <f t="shared" si="10"/>
        <v>10405</v>
      </c>
      <c r="L18">
        <f t="shared" si="10"/>
        <v>10540</v>
      </c>
      <c r="M18">
        <f t="shared" si="10"/>
        <v>10569</v>
      </c>
      <c r="N18">
        <f t="shared" si="10"/>
        <v>10707</v>
      </c>
      <c r="O18">
        <f t="shared" si="10"/>
        <v>10834</v>
      </c>
      <c r="P18">
        <f t="shared" si="10"/>
        <v>10742</v>
      </c>
      <c r="Q18">
        <f t="shared" si="10"/>
        <v>10541</v>
      </c>
      <c r="R18">
        <f t="shared" si="10"/>
        <v>10070</v>
      </c>
    </row>
    <row r="19" spans="1:18" x14ac:dyDescent="0.2">
      <c r="A19" t="s">
        <v>24</v>
      </c>
      <c r="B19">
        <f>(B17/B16)*100</f>
        <v>86.852212681521962</v>
      </c>
      <c r="C19">
        <f t="shared" ref="C19:R19" si="11">(C17/C16)*100</f>
        <v>84.988252872983466</v>
      </c>
      <c r="D19">
        <f t="shared" si="11"/>
        <v>85.190284979882932</v>
      </c>
      <c r="E19">
        <f t="shared" si="11"/>
        <v>78.650802073207487</v>
      </c>
      <c r="F19">
        <f t="shared" si="11"/>
        <v>79.052918628578794</v>
      </c>
      <c r="G19">
        <f t="shared" si="11"/>
        <v>79.210199537605916</v>
      </c>
      <c r="H19">
        <f t="shared" si="11"/>
        <v>78.31538033399346</v>
      </c>
      <c r="I19">
        <f t="shared" si="11"/>
        <v>76.602589536729468</v>
      </c>
      <c r="K19">
        <f t="shared" si="11"/>
        <v>96.594541215517395</v>
      </c>
      <c r="L19">
        <f t="shared" si="11"/>
        <v>96.568759856755747</v>
      </c>
      <c r="M19">
        <f t="shared" si="11"/>
        <v>96.560627579456707</v>
      </c>
      <c r="N19">
        <f t="shared" si="11"/>
        <v>96.491212783939915</v>
      </c>
      <c r="O19">
        <f t="shared" si="11"/>
        <v>96.438933858446092</v>
      </c>
      <c r="P19">
        <f t="shared" si="11"/>
        <v>96.507477338537996</v>
      </c>
      <c r="Q19">
        <f t="shared" si="11"/>
        <v>96.551333548257801</v>
      </c>
      <c r="R19">
        <f t="shared" si="11"/>
        <v>96.596351511877472</v>
      </c>
    </row>
    <row r="20" spans="1:18" x14ac:dyDescent="0.2">
      <c r="A20" t="s">
        <v>25</v>
      </c>
      <c r="B20">
        <f>(B18/B16)*100</f>
        <v>11.942438232594565</v>
      </c>
      <c r="C20">
        <f t="shared" ref="C20:R20" si="12">(C18/C16)*100</f>
        <v>13.724265002400863</v>
      </c>
      <c r="D20">
        <f t="shared" si="12"/>
        <v>13.529638991522441</v>
      </c>
      <c r="E20">
        <f t="shared" si="12"/>
        <v>20.051213428655398</v>
      </c>
      <c r="F20">
        <f t="shared" si="12"/>
        <v>19.692359860357886</v>
      </c>
      <c r="G20">
        <f t="shared" si="12"/>
        <v>19.611137509928689</v>
      </c>
      <c r="H20">
        <f t="shared" si="12"/>
        <v>20.446797837300107</v>
      </c>
      <c r="I20">
        <f t="shared" si="12"/>
        <v>22.137175580658152</v>
      </c>
      <c r="K20">
        <f t="shared" si="12"/>
        <v>3.0399621355989646</v>
      </c>
      <c r="L20">
        <f t="shared" si="12"/>
        <v>3.0612215261380107</v>
      </c>
      <c r="M20">
        <f t="shared" si="12"/>
        <v>3.0696442419120147</v>
      </c>
      <c r="N20">
        <f t="shared" si="12"/>
        <v>3.109724751457275</v>
      </c>
      <c r="O20">
        <f t="shared" si="12"/>
        <v>3.1466104377779134</v>
      </c>
      <c r="P20">
        <f t="shared" si="12"/>
        <v>3.1198900980810729</v>
      </c>
      <c r="Q20">
        <f t="shared" si="12"/>
        <v>3.061511964612976</v>
      </c>
      <c r="R20">
        <f t="shared" si="12"/>
        <v>2.9247154429041524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380E0-1E12-4970-85E8-61C3AE879D84}">
  <dimension ref="A1:R20"/>
  <sheetViews>
    <sheetView workbookViewId="0">
      <selection sqref="A1:A20"/>
    </sheetView>
  </sheetViews>
  <sheetFormatPr baseColWidth="10" defaultColWidth="8.83203125" defaultRowHeight="15" x14ac:dyDescent="0.2"/>
  <cols>
    <col min="1" max="1" width="30.33203125" customWidth="1"/>
  </cols>
  <sheetData>
    <row r="1" spans="1:18" x14ac:dyDescent="0.2">
      <c r="A1" t="s">
        <v>18</v>
      </c>
      <c r="B1" t="s">
        <v>15</v>
      </c>
      <c r="C1" t="s">
        <v>15</v>
      </c>
      <c r="D1" t="s">
        <v>15</v>
      </c>
      <c r="E1" t="s">
        <v>15</v>
      </c>
      <c r="F1" t="s">
        <v>15</v>
      </c>
      <c r="G1" t="s">
        <v>15</v>
      </c>
      <c r="H1" t="s">
        <v>15</v>
      </c>
      <c r="I1" t="s">
        <v>15</v>
      </c>
      <c r="K1" t="s">
        <v>15</v>
      </c>
      <c r="L1" t="s">
        <v>15</v>
      </c>
      <c r="M1" t="s">
        <v>15</v>
      </c>
      <c r="N1" t="s">
        <v>15</v>
      </c>
      <c r="O1" t="s">
        <v>15</v>
      </c>
      <c r="P1" t="s">
        <v>15</v>
      </c>
      <c r="Q1" t="s">
        <v>15</v>
      </c>
      <c r="R1" t="s">
        <v>15</v>
      </c>
    </row>
    <row r="2" spans="1:18" x14ac:dyDescent="0.2">
      <c r="A2" t="s">
        <v>17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K2" s="1" t="s">
        <v>1</v>
      </c>
      <c r="L2" s="1" t="s">
        <v>1</v>
      </c>
      <c r="M2" s="1" t="s">
        <v>1</v>
      </c>
      <c r="N2" s="1" t="s">
        <v>1</v>
      </c>
      <c r="O2" s="1" t="s">
        <v>1</v>
      </c>
      <c r="P2" s="1" t="s">
        <v>1</v>
      </c>
      <c r="Q2" s="1" t="s">
        <v>1</v>
      </c>
      <c r="R2" s="1" t="s">
        <v>1</v>
      </c>
    </row>
    <row r="3" spans="1:18" x14ac:dyDescent="0.2">
      <c r="A3" s="2" t="s">
        <v>10</v>
      </c>
      <c r="B3">
        <v>1985</v>
      </c>
      <c r="C3">
        <v>1990</v>
      </c>
      <c r="D3">
        <v>1995</v>
      </c>
      <c r="E3">
        <v>2000</v>
      </c>
      <c r="F3">
        <v>2005</v>
      </c>
      <c r="G3">
        <v>2010</v>
      </c>
      <c r="H3">
        <v>2015</v>
      </c>
      <c r="I3">
        <v>2020</v>
      </c>
      <c r="K3">
        <v>1985</v>
      </c>
      <c r="L3">
        <v>1990</v>
      </c>
      <c r="M3">
        <v>1995</v>
      </c>
      <c r="N3">
        <v>2000</v>
      </c>
      <c r="O3">
        <v>2005</v>
      </c>
      <c r="P3">
        <v>2010</v>
      </c>
      <c r="Q3">
        <v>2015</v>
      </c>
      <c r="R3">
        <v>2020</v>
      </c>
    </row>
    <row r="4" spans="1:18" x14ac:dyDescent="0.2">
      <c r="A4" s="2" t="s">
        <v>11</v>
      </c>
      <c r="B4">
        <v>30814657</v>
      </c>
      <c r="C4">
        <v>30949272</v>
      </c>
      <c r="D4">
        <v>30942585</v>
      </c>
      <c r="E4">
        <v>30242926</v>
      </c>
      <c r="F4">
        <v>30229679</v>
      </c>
      <c r="G4">
        <v>30112512</v>
      </c>
      <c r="H4">
        <v>29762366</v>
      </c>
      <c r="I4">
        <v>29785270</v>
      </c>
      <c r="K4">
        <v>1333097</v>
      </c>
      <c r="L4">
        <v>1342779</v>
      </c>
      <c r="M4">
        <v>1338461</v>
      </c>
      <c r="N4">
        <v>1324182</v>
      </c>
      <c r="O4">
        <v>1325531</v>
      </c>
      <c r="P4">
        <v>1323072</v>
      </c>
      <c r="Q4">
        <v>1312726</v>
      </c>
      <c r="R4">
        <v>1289582</v>
      </c>
    </row>
    <row r="5" spans="1:18" x14ac:dyDescent="0.2">
      <c r="A5" s="2" t="s">
        <v>12</v>
      </c>
      <c r="B5">
        <v>3487433</v>
      </c>
      <c r="C5">
        <v>3401022</v>
      </c>
      <c r="D5">
        <v>3399510</v>
      </c>
      <c r="E5">
        <v>3493345</v>
      </c>
      <c r="F5">
        <v>3450780</v>
      </c>
      <c r="G5">
        <v>3431135</v>
      </c>
      <c r="H5">
        <v>3717779</v>
      </c>
      <c r="I5">
        <v>3406412</v>
      </c>
      <c r="K5">
        <v>192625</v>
      </c>
      <c r="L5">
        <v>183829</v>
      </c>
      <c r="M5">
        <v>188423</v>
      </c>
      <c r="N5">
        <v>202154</v>
      </c>
      <c r="O5">
        <v>200536</v>
      </c>
      <c r="P5">
        <v>203268</v>
      </c>
      <c r="Q5">
        <v>213817</v>
      </c>
      <c r="R5">
        <v>234698</v>
      </c>
    </row>
    <row r="6" spans="1:18" x14ac:dyDescent="0.2">
      <c r="A6" s="2" t="s">
        <v>2</v>
      </c>
      <c r="B6">
        <v>6763</v>
      </c>
      <c r="C6">
        <v>2843</v>
      </c>
      <c r="D6">
        <v>9873</v>
      </c>
      <c r="E6">
        <v>12032</v>
      </c>
      <c r="F6">
        <v>15166</v>
      </c>
      <c r="G6">
        <v>17027</v>
      </c>
      <c r="H6">
        <v>13273</v>
      </c>
      <c r="I6">
        <v>14814</v>
      </c>
      <c r="K6">
        <v>16</v>
      </c>
      <c r="M6">
        <v>34</v>
      </c>
      <c r="N6">
        <v>37</v>
      </c>
      <c r="O6">
        <v>31</v>
      </c>
      <c r="P6">
        <v>21</v>
      </c>
      <c r="Q6">
        <v>8</v>
      </c>
      <c r="R6">
        <v>15</v>
      </c>
    </row>
    <row r="7" spans="1:18" x14ac:dyDescent="0.2">
      <c r="A7" s="2" t="s">
        <v>3</v>
      </c>
    </row>
    <row r="8" spans="1:18" x14ac:dyDescent="0.2">
      <c r="A8" s="2" t="s">
        <v>13</v>
      </c>
    </row>
    <row r="9" spans="1:18" x14ac:dyDescent="0.2">
      <c r="A9" s="2" t="s">
        <v>4</v>
      </c>
      <c r="B9">
        <v>382935</v>
      </c>
      <c r="C9">
        <v>385475</v>
      </c>
      <c r="D9">
        <v>403680</v>
      </c>
      <c r="E9">
        <v>1015098</v>
      </c>
      <c r="F9">
        <v>1088863</v>
      </c>
      <c r="G9">
        <v>1229250</v>
      </c>
      <c r="H9">
        <v>1291375</v>
      </c>
      <c r="I9">
        <v>1547176</v>
      </c>
      <c r="K9">
        <v>95</v>
      </c>
      <c r="L9">
        <v>12</v>
      </c>
      <c r="N9">
        <v>758</v>
      </c>
      <c r="O9">
        <v>1028</v>
      </c>
      <c r="P9">
        <v>901</v>
      </c>
      <c r="Q9">
        <v>894</v>
      </c>
      <c r="R9">
        <v>3181</v>
      </c>
    </row>
    <row r="10" spans="1:18" x14ac:dyDescent="0.2">
      <c r="A10" s="2" t="s">
        <v>19</v>
      </c>
      <c r="B10">
        <v>6390</v>
      </c>
      <c r="C10">
        <v>9106</v>
      </c>
      <c r="D10">
        <v>10893</v>
      </c>
      <c r="E10">
        <v>12186</v>
      </c>
      <c r="F10">
        <v>14694</v>
      </c>
      <c r="G10">
        <v>17193</v>
      </c>
      <c r="H10">
        <v>19274</v>
      </c>
      <c r="I10">
        <v>22835</v>
      </c>
      <c r="M10">
        <v>14</v>
      </c>
      <c r="N10">
        <v>15</v>
      </c>
      <c r="O10">
        <v>23</v>
      </c>
      <c r="P10">
        <v>22</v>
      </c>
      <c r="Q10">
        <v>10</v>
      </c>
      <c r="R10">
        <v>21</v>
      </c>
    </row>
    <row r="11" spans="1:18" x14ac:dyDescent="0.2">
      <c r="A11" s="2" t="s">
        <v>20</v>
      </c>
      <c r="B11">
        <v>76716</v>
      </c>
      <c r="C11">
        <v>50165</v>
      </c>
      <c r="D11">
        <v>48847</v>
      </c>
      <c r="E11">
        <v>39264</v>
      </c>
      <c r="F11">
        <v>26857</v>
      </c>
      <c r="G11">
        <v>29667</v>
      </c>
      <c r="H11">
        <v>30994</v>
      </c>
      <c r="I11">
        <v>44021</v>
      </c>
      <c r="K11">
        <v>533</v>
      </c>
      <c r="L11">
        <v>11</v>
      </c>
      <c r="M11">
        <v>16</v>
      </c>
      <c r="N11">
        <v>57</v>
      </c>
      <c r="O11">
        <v>234</v>
      </c>
      <c r="P11">
        <v>370</v>
      </c>
      <c r="Q11">
        <v>164</v>
      </c>
      <c r="R11">
        <v>398</v>
      </c>
    </row>
    <row r="12" spans="1:18" x14ac:dyDescent="0.2">
      <c r="A12" s="2" t="s">
        <v>21</v>
      </c>
      <c r="B12">
        <v>170</v>
      </c>
      <c r="C12">
        <v>142</v>
      </c>
      <c r="D12">
        <v>167</v>
      </c>
      <c r="E12">
        <v>148</v>
      </c>
      <c r="F12">
        <v>157</v>
      </c>
      <c r="G12">
        <v>209</v>
      </c>
      <c r="H12">
        <v>261</v>
      </c>
      <c r="I12">
        <v>286</v>
      </c>
      <c r="K12">
        <v>1</v>
      </c>
      <c r="L12">
        <v>1</v>
      </c>
      <c r="Q12">
        <v>4</v>
      </c>
      <c r="R12">
        <v>4</v>
      </c>
    </row>
    <row r="13" spans="1:18" x14ac:dyDescent="0.2">
      <c r="A13" s="2" t="s">
        <v>5</v>
      </c>
      <c r="B13">
        <v>680724</v>
      </c>
      <c r="C13">
        <v>692302</v>
      </c>
      <c r="D13">
        <v>674772</v>
      </c>
      <c r="E13">
        <v>675328</v>
      </c>
      <c r="F13">
        <v>664105</v>
      </c>
      <c r="G13">
        <v>653292</v>
      </c>
      <c r="H13">
        <v>654952</v>
      </c>
      <c r="I13">
        <v>669353</v>
      </c>
      <c r="K13">
        <v>9228</v>
      </c>
      <c r="L13">
        <v>10399</v>
      </c>
      <c r="M13">
        <v>10083</v>
      </c>
      <c r="N13">
        <v>9828</v>
      </c>
      <c r="O13">
        <v>9648</v>
      </c>
      <c r="P13">
        <v>9377</v>
      </c>
      <c r="Q13">
        <v>9408</v>
      </c>
      <c r="R13">
        <v>9132</v>
      </c>
    </row>
    <row r="14" spans="1:18" x14ac:dyDescent="0.2">
      <c r="A14" s="2" t="s">
        <v>8</v>
      </c>
    </row>
    <row r="15" spans="1:18" x14ac:dyDescent="0.2">
      <c r="A15" s="2" t="s">
        <v>6</v>
      </c>
      <c r="F15">
        <v>26</v>
      </c>
      <c r="G15">
        <v>42</v>
      </c>
      <c r="H15">
        <v>53</v>
      </c>
      <c r="I15">
        <v>160</v>
      </c>
    </row>
    <row r="16" spans="1:18" x14ac:dyDescent="0.2">
      <c r="A16" s="2" t="s">
        <v>7</v>
      </c>
      <c r="B16">
        <f>SUM(B4:B15)</f>
        <v>35455788</v>
      </c>
      <c r="C16">
        <f t="shared" ref="C16:R16" si="0">SUM(C4:C15)</f>
        <v>35490327</v>
      </c>
      <c r="D16">
        <f t="shared" si="0"/>
        <v>35490327</v>
      </c>
      <c r="E16">
        <f t="shared" si="0"/>
        <v>35490327</v>
      </c>
      <c r="F16">
        <f t="shared" si="0"/>
        <v>35490327</v>
      </c>
      <c r="G16">
        <f t="shared" si="0"/>
        <v>35490327</v>
      </c>
      <c r="H16">
        <f t="shared" si="0"/>
        <v>35490327</v>
      </c>
      <c r="I16">
        <f t="shared" si="0"/>
        <v>35490327</v>
      </c>
      <c r="K16">
        <f t="shared" si="0"/>
        <v>1535595</v>
      </c>
      <c r="L16">
        <f t="shared" si="0"/>
        <v>1537031</v>
      </c>
      <c r="M16">
        <f t="shared" si="0"/>
        <v>1537031</v>
      </c>
      <c r="N16">
        <f t="shared" si="0"/>
        <v>1537031</v>
      </c>
      <c r="O16">
        <f t="shared" si="0"/>
        <v>1537031</v>
      </c>
      <c r="P16">
        <f t="shared" si="0"/>
        <v>1537031</v>
      </c>
      <c r="Q16">
        <f t="shared" si="0"/>
        <v>1537031</v>
      </c>
      <c r="R16">
        <f t="shared" si="0"/>
        <v>1537031</v>
      </c>
    </row>
    <row r="17" spans="1:18" x14ac:dyDescent="0.2">
      <c r="A17" s="2" t="s">
        <v>22</v>
      </c>
      <c r="B17">
        <f>SUM(B4:B8)</f>
        <v>34308853</v>
      </c>
      <c r="C17">
        <f t="shared" ref="C17:R17" si="1">SUM(C4:C8)</f>
        <v>34353137</v>
      </c>
      <c r="D17">
        <f t="shared" si="1"/>
        <v>34351968</v>
      </c>
      <c r="E17">
        <f t="shared" si="1"/>
        <v>33748303</v>
      </c>
      <c r="F17">
        <f t="shared" si="1"/>
        <v>33695625</v>
      </c>
      <c r="G17">
        <f t="shared" si="1"/>
        <v>33560674</v>
      </c>
      <c r="H17">
        <f t="shared" si="1"/>
        <v>33493418</v>
      </c>
      <c r="I17">
        <f t="shared" si="1"/>
        <v>33206496</v>
      </c>
      <c r="K17">
        <f t="shared" si="1"/>
        <v>1525738</v>
      </c>
      <c r="L17">
        <f t="shared" si="1"/>
        <v>1526608</v>
      </c>
      <c r="M17">
        <f t="shared" si="1"/>
        <v>1526918</v>
      </c>
      <c r="N17">
        <f t="shared" si="1"/>
        <v>1526373</v>
      </c>
      <c r="O17">
        <f t="shared" si="1"/>
        <v>1526098</v>
      </c>
      <c r="P17">
        <f t="shared" si="1"/>
        <v>1526361</v>
      </c>
      <c r="Q17">
        <f t="shared" si="1"/>
        <v>1526551</v>
      </c>
      <c r="R17">
        <f t="shared" si="1"/>
        <v>1524295</v>
      </c>
    </row>
    <row r="18" spans="1:18" x14ac:dyDescent="0.2">
      <c r="A18" t="s">
        <v>23</v>
      </c>
      <c r="B18">
        <f>SUM(B9,B10,B15)</f>
        <v>389325</v>
      </c>
      <c r="C18">
        <f t="shared" ref="C18:R18" si="2">SUM(C9,C10,C15)</f>
        <v>394581</v>
      </c>
      <c r="D18">
        <f t="shared" si="2"/>
        <v>414573</v>
      </c>
      <c r="E18">
        <f t="shared" si="2"/>
        <v>1027284</v>
      </c>
      <c r="F18">
        <f t="shared" si="2"/>
        <v>1103583</v>
      </c>
      <c r="G18">
        <f t="shared" si="2"/>
        <v>1246485</v>
      </c>
      <c r="H18">
        <f t="shared" si="2"/>
        <v>1310702</v>
      </c>
      <c r="I18">
        <f t="shared" si="2"/>
        <v>1570171</v>
      </c>
      <c r="K18">
        <f t="shared" si="2"/>
        <v>95</v>
      </c>
      <c r="L18">
        <f t="shared" si="2"/>
        <v>12</v>
      </c>
      <c r="M18">
        <f t="shared" si="2"/>
        <v>14</v>
      </c>
      <c r="N18">
        <f t="shared" si="2"/>
        <v>773</v>
      </c>
      <c r="O18">
        <f t="shared" si="2"/>
        <v>1051</v>
      </c>
      <c r="P18">
        <f t="shared" si="2"/>
        <v>923</v>
      </c>
      <c r="Q18">
        <f t="shared" si="2"/>
        <v>904</v>
      </c>
      <c r="R18">
        <f t="shared" si="2"/>
        <v>3202</v>
      </c>
    </row>
    <row r="19" spans="1:18" x14ac:dyDescent="0.2">
      <c r="A19" t="s">
        <v>24</v>
      </c>
      <c r="B19">
        <f>(B17/B16)*100</f>
        <v>96.765168496607671</v>
      </c>
      <c r="C19">
        <f t="shared" ref="C19:R19" si="3">(C17/C16)*100</f>
        <v>96.795774803652833</v>
      </c>
      <c r="D19">
        <f t="shared" si="3"/>
        <v>96.792480948400396</v>
      </c>
      <c r="E19">
        <f t="shared" si="3"/>
        <v>95.091552692653408</v>
      </c>
      <c r="F19">
        <f t="shared" si="3"/>
        <v>94.943123516444345</v>
      </c>
      <c r="G19">
        <f t="shared" si="3"/>
        <v>94.562876245124485</v>
      </c>
      <c r="H19">
        <f t="shared" si="3"/>
        <v>94.373371087845996</v>
      </c>
      <c r="I19">
        <f t="shared" si="3"/>
        <v>93.564919816038895</v>
      </c>
      <c r="K19">
        <f t="shared" si="3"/>
        <v>99.358098977920605</v>
      </c>
      <c r="L19">
        <f t="shared" si="3"/>
        <v>99.321874444952641</v>
      </c>
      <c r="M19">
        <f t="shared" si="3"/>
        <v>99.342043198868467</v>
      </c>
      <c r="N19">
        <f t="shared" si="3"/>
        <v>99.306585228274514</v>
      </c>
      <c r="O19">
        <f t="shared" si="3"/>
        <v>99.288693591736276</v>
      </c>
      <c r="P19">
        <f t="shared" si="3"/>
        <v>99.305804502316477</v>
      </c>
      <c r="Q19">
        <f t="shared" si="3"/>
        <v>99.318165996651985</v>
      </c>
      <c r="R19">
        <f t="shared" si="3"/>
        <v>99.17138951654195</v>
      </c>
    </row>
    <row r="20" spans="1:18" x14ac:dyDescent="0.2">
      <c r="A20" t="s">
        <v>25</v>
      </c>
      <c r="B20">
        <f>(B18/B16)*100</f>
        <v>1.0980576711480787</v>
      </c>
      <c r="C20">
        <f t="shared" ref="C20:R20" si="4">(C18/C16)*100</f>
        <v>1.1117987163093763</v>
      </c>
      <c r="D20">
        <f t="shared" si="4"/>
        <v>1.1681295582314584</v>
      </c>
      <c r="E20">
        <f t="shared" si="4"/>
        <v>2.8945464492338995</v>
      </c>
      <c r="F20">
        <f t="shared" si="4"/>
        <v>3.1095317887603571</v>
      </c>
      <c r="G20">
        <f t="shared" si="4"/>
        <v>3.5121823476013621</v>
      </c>
      <c r="H20">
        <f t="shared" si="4"/>
        <v>3.6931246082911549</v>
      </c>
      <c r="I20">
        <f t="shared" si="4"/>
        <v>4.4242224085452921</v>
      </c>
      <c r="K20">
        <f t="shared" si="4"/>
        <v>6.186527046519427E-3</v>
      </c>
      <c r="L20">
        <f t="shared" si="4"/>
        <v>7.8072595803207611E-4</v>
      </c>
      <c r="M20">
        <f t="shared" si="4"/>
        <v>9.1084695103742219E-4</v>
      </c>
      <c r="N20">
        <f t="shared" si="4"/>
        <v>5.0291763796566233E-2</v>
      </c>
      <c r="O20">
        <f t="shared" si="4"/>
        <v>6.8378581824309337E-2</v>
      </c>
      <c r="P20">
        <f t="shared" si="4"/>
        <v>6.0050838271967187E-2</v>
      </c>
      <c r="Q20">
        <f t="shared" si="4"/>
        <v>5.8814688838416396E-2</v>
      </c>
      <c r="R20">
        <f t="shared" si="4"/>
        <v>0.20832370980155898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F21A0-BF5B-4145-83DC-32F75B301C90}">
  <dimension ref="A1:R20"/>
  <sheetViews>
    <sheetView workbookViewId="0">
      <selection sqref="A1:A20"/>
    </sheetView>
  </sheetViews>
  <sheetFormatPr baseColWidth="10" defaultColWidth="8.83203125" defaultRowHeight="15" x14ac:dyDescent="0.2"/>
  <cols>
    <col min="1" max="1" width="33.1640625" customWidth="1"/>
  </cols>
  <sheetData>
    <row r="1" spans="1:18" x14ac:dyDescent="0.2">
      <c r="A1" t="s">
        <v>18</v>
      </c>
      <c r="B1" t="s">
        <v>14</v>
      </c>
      <c r="C1" t="s">
        <v>14</v>
      </c>
      <c r="D1" t="s">
        <v>14</v>
      </c>
      <c r="E1" t="s">
        <v>14</v>
      </c>
      <c r="F1" t="s">
        <v>14</v>
      </c>
      <c r="G1" t="s">
        <v>14</v>
      </c>
      <c r="H1" t="s">
        <v>14</v>
      </c>
      <c r="I1" t="s">
        <v>14</v>
      </c>
      <c r="K1" t="s">
        <v>14</v>
      </c>
      <c r="L1" t="s">
        <v>14</v>
      </c>
      <c r="M1" t="s">
        <v>14</v>
      </c>
      <c r="N1" t="s">
        <v>14</v>
      </c>
      <c r="O1" t="s">
        <v>14</v>
      </c>
      <c r="P1" t="s">
        <v>14</v>
      </c>
      <c r="Q1" t="s">
        <v>14</v>
      </c>
      <c r="R1" t="s">
        <v>14</v>
      </c>
    </row>
    <row r="2" spans="1:18" x14ac:dyDescent="0.2">
      <c r="A2" t="s">
        <v>17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K2" s="1" t="s">
        <v>1</v>
      </c>
      <c r="L2" s="1" t="s">
        <v>1</v>
      </c>
      <c r="M2" s="1" t="s">
        <v>1</v>
      </c>
      <c r="N2" s="1" t="s">
        <v>1</v>
      </c>
      <c r="O2" s="1" t="s">
        <v>1</v>
      </c>
      <c r="P2" s="1" t="s">
        <v>1</v>
      </c>
      <c r="Q2" s="1" t="s">
        <v>1</v>
      </c>
      <c r="R2" s="1" t="s">
        <v>1</v>
      </c>
    </row>
    <row r="3" spans="1:18" x14ac:dyDescent="0.2">
      <c r="A3" s="2" t="s">
        <v>10</v>
      </c>
      <c r="B3">
        <v>1985</v>
      </c>
      <c r="C3">
        <v>1990</v>
      </c>
      <c r="D3">
        <v>1995</v>
      </c>
      <c r="E3">
        <v>2000</v>
      </c>
      <c r="F3">
        <v>2005</v>
      </c>
      <c r="G3">
        <v>2010</v>
      </c>
      <c r="H3">
        <v>2015</v>
      </c>
      <c r="I3">
        <v>2020</v>
      </c>
      <c r="K3">
        <v>1985</v>
      </c>
      <c r="L3">
        <v>1990</v>
      </c>
      <c r="M3">
        <v>1995</v>
      </c>
      <c r="N3">
        <v>2000</v>
      </c>
      <c r="O3">
        <v>2005</v>
      </c>
      <c r="P3">
        <v>2010</v>
      </c>
      <c r="Q3">
        <v>2015</v>
      </c>
      <c r="R3">
        <v>2020</v>
      </c>
    </row>
    <row r="4" spans="1:18" x14ac:dyDescent="0.2">
      <c r="A4" s="2" t="s">
        <v>11</v>
      </c>
      <c r="B4">
        <v>20471962</v>
      </c>
      <c r="C4">
        <v>19915250</v>
      </c>
      <c r="D4">
        <v>19794825</v>
      </c>
      <c r="E4">
        <v>17746250</v>
      </c>
      <c r="F4">
        <v>17858006</v>
      </c>
      <c r="G4">
        <v>17646192</v>
      </c>
      <c r="H4">
        <v>17384318</v>
      </c>
      <c r="I4">
        <v>16909649</v>
      </c>
      <c r="K4">
        <v>134528</v>
      </c>
      <c r="L4">
        <v>134321</v>
      </c>
      <c r="M4">
        <v>134321</v>
      </c>
      <c r="N4">
        <v>132252</v>
      </c>
      <c r="O4">
        <v>132405</v>
      </c>
      <c r="P4">
        <v>131639</v>
      </c>
      <c r="Q4">
        <v>130463</v>
      </c>
      <c r="R4">
        <v>129591</v>
      </c>
    </row>
    <row r="5" spans="1:18" x14ac:dyDescent="0.2">
      <c r="A5" s="2" t="s">
        <v>12</v>
      </c>
      <c r="B5">
        <v>939862</v>
      </c>
      <c r="C5">
        <v>888577</v>
      </c>
      <c r="D5">
        <v>935099</v>
      </c>
      <c r="E5">
        <v>976340</v>
      </c>
      <c r="F5">
        <v>978371</v>
      </c>
      <c r="G5">
        <v>989508</v>
      </c>
      <c r="H5">
        <v>1064085</v>
      </c>
      <c r="I5">
        <v>1078617</v>
      </c>
      <c r="Q5">
        <v>8</v>
      </c>
      <c r="R5">
        <v>7</v>
      </c>
    </row>
    <row r="6" spans="1:18" x14ac:dyDescent="0.2">
      <c r="A6" s="2" t="s">
        <v>2</v>
      </c>
      <c r="B6">
        <v>7988</v>
      </c>
      <c r="C6">
        <v>8203</v>
      </c>
      <c r="D6">
        <v>11263</v>
      </c>
      <c r="E6">
        <v>11355</v>
      </c>
      <c r="F6">
        <v>11325</v>
      </c>
      <c r="G6">
        <v>12470</v>
      </c>
      <c r="H6">
        <v>9957</v>
      </c>
      <c r="I6">
        <v>11299</v>
      </c>
    </row>
    <row r="7" spans="1:18" x14ac:dyDescent="0.2">
      <c r="A7" s="2" t="s">
        <v>3</v>
      </c>
    </row>
    <row r="8" spans="1:18" x14ac:dyDescent="0.2">
      <c r="A8" s="2" t="s">
        <v>13</v>
      </c>
    </row>
    <row r="9" spans="1:18" x14ac:dyDescent="0.2">
      <c r="A9" s="2" t="s">
        <v>4</v>
      </c>
      <c r="B9">
        <v>1711778</v>
      </c>
      <c r="C9">
        <v>2216004</v>
      </c>
      <c r="D9">
        <v>2270324</v>
      </c>
      <c r="E9">
        <v>4508366</v>
      </c>
      <c r="F9">
        <v>4406037</v>
      </c>
      <c r="G9">
        <v>4608968</v>
      </c>
      <c r="H9">
        <v>4765629</v>
      </c>
      <c r="I9">
        <v>5178138</v>
      </c>
      <c r="K9">
        <v>221</v>
      </c>
      <c r="L9">
        <v>1120</v>
      </c>
      <c r="M9">
        <v>1120</v>
      </c>
      <c r="N9">
        <v>3321</v>
      </c>
      <c r="O9">
        <v>3208</v>
      </c>
      <c r="P9">
        <v>4171</v>
      </c>
      <c r="Q9">
        <v>5329</v>
      </c>
      <c r="R9">
        <v>6202</v>
      </c>
    </row>
    <row r="10" spans="1:18" x14ac:dyDescent="0.2">
      <c r="A10" s="2" t="s">
        <v>19</v>
      </c>
      <c r="B10">
        <v>46644</v>
      </c>
      <c r="C10">
        <v>61704</v>
      </c>
      <c r="D10">
        <v>63473</v>
      </c>
      <c r="E10">
        <v>73781</v>
      </c>
      <c r="F10">
        <v>92736</v>
      </c>
      <c r="G10">
        <v>116217</v>
      </c>
      <c r="H10">
        <v>130331</v>
      </c>
      <c r="I10">
        <v>150622</v>
      </c>
      <c r="K10">
        <v>11</v>
      </c>
      <c r="L10">
        <v>6</v>
      </c>
      <c r="M10">
        <v>6</v>
      </c>
      <c r="O10">
        <v>131</v>
      </c>
      <c r="P10">
        <v>9</v>
      </c>
      <c r="Q10">
        <v>60</v>
      </c>
      <c r="R10">
        <v>57</v>
      </c>
    </row>
    <row r="11" spans="1:18" x14ac:dyDescent="0.2">
      <c r="A11" s="2" t="s">
        <v>20</v>
      </c>
      <c r="B11">
        <v>245715</v>
      </c>
      <c r="C11">
        <v>298395</v>
      </c>
      <c r="D11">
        <v>313629</v>
      </c>
      <c r="E11">
        <v>72832</v>
      </c>
      <c r="F11">
        <v>47904</v>
      </c>
      <c r="G11">
        <v>36429</v>
      </c>
      <c r="H11">
        <v>44081</v>
      </c>
      <c r="I11">
        <v>68660</v>
      </c>
      <c r="K11">
        <v>105</v>
      </c>
      <c r="L11">
        <v>84</v>
      </c>
      <c r="M11">
        <v>84</v>
      </c>
      <c r="N11">
        <v>62</v>
      </c>
      <c r="P11">
        <v>63</v>
      </c>
      <c r="Q11">
        <v>38</v>
      </c>
      <c r="R11">
        <v>21</v>
      </c>
    </row>
    <row r="12" spans="1:18" x14ac:dyDescent="0.2">
      <c r="A12" s="2" t="s">
        <v>21</v>
      </c>
      <c r="B12">
        <v>112</v>
      </c>
      <c r="C12">
        <v>109</v>
      </c>
      <c r="D12">
        <v>132</v>
      </c>
      <c r="E12">
        <v>95</v>
      </c>
      <c r="F12">
        <v>114</v>
      </c>
      <c r="G12">
        <v>145</v>
      </c>
      <c r="H12">
        <v>128</v>
      </c>
      <c r="I12">
        <v>150</v>
      </c>
    </row>
    <row r="13" spans="1:18" x14ac:dyDescent="0.2">
      <c r="A13" s="2" t="s">
        <v>5</v>
      </c>
      <c r="B13">
        <v>454565</v>
      </c>
      <c r="C13">
        <v>490384</v>
      </c>
      <c r="D13">
        <v>489881</v>
      </c>
      <c r="E13">
        <v>489561</v>
      </c>
      <c r="F13">
        <v>484002</v>
      </c>
      <c r="G13">
        <v>468578</v>
      </c>
      <c r="H13">
        <v>479790</v>
      </c>
      <c r="I13">
        <v>480593</v>
      </c>
      <c r="K13">
        <v>998</v>
      </c>
      <c r="L13">
        <v>785</v>
      </c>
      <c r="M13">
        <v>785</v>
      </c>
      <c r="N13">
        <v>681</v>
      </c>
      <c r="O13">
        <v>572</v>
      </c>
      <c r="P13">
        <v>434</v>
      </c>
      <c r="Q13">
        <v>418</v>
      </c>
      <c r="R13">
        <v>438</v>
      </c>
    </row>
    <row r="14" spans="1:18" x14ac:dyDescent="0.2">
      <c r="A14" s="2" t="s">
        <v>8</v>
      </c>
    </row>
    <row r="15" spans="1:18" x14ac:dyDescent="0.2">
      <c r="A15" s="2" t="s">
        <v>6</v>
      </c>
      <c r="E15">
        <v>46</v>
      </c>
      <c r="F15">
        <v>131</v>
      </c>
      <c r="G15">
        <v>119</v>
      </c>
      <c r="H15">
        <v>307</v>
      </c>
      <c r="I15">
        <v>898</v>
      </c>
    </row>
    <row r="16" spans="1:18" x14ac:dyDescent="0.2">
      <c r="A16" s="2" t="s">
        <v>7</v>
      </c>
      <c r="B16">
        <f>SUM(B4:B15)</f>
        <v>23878626</v>
      </c>
      <c r="C16">
        <f t="shared" ref="C16:R16" si="0">SUM(C4:C15)</f>
        <v>23878626</v>
      </c>
      <c r="D16">
        <f t="shared" si="0"/>
        <v>23878626</v>
      </c>
      <c r="E16">
        <f t="shared" si="0"/>
        <v>23878626</v>
      </c>
      <c r="F16">
        <f t="shared" si="0"/>
        <v>23878626</v>
      </c>
      <c r="G16">
        <f t="shared" si="0"/>
        <v>23878626</v>
      </c>
      <c r="H16">
        <f t="shared" si="0"/>
        <v>23878626</v>
      </c>
      <c r="I16">
        <f t="shared" si="0"/>
        <v>23878626</v>
      </c>
      <c r="K16">
        <f t="shared" si="0"/>
        <v>135863</v>
      </c>
      <c r="L16">
        <f t="shared" si="0"/>
        <v>136316</v>
      </c>
      <c r="M16">
        <f t="shared" si="0"/>
        <v>136316</v>
      </c>
      <c r="N16">
        <f t="shared" si="0"/>
        <v>136316</v>
      </c>
      <c r="O16">
        <f t="shared" si="0"/>
        <v>136316</v>
      </c>
      <c r="P16">
        <f t="shared" si="0"/>
        <v>136316</v>
      </c>
      <c r="Q16">
        <f t="shared" si="0"/>
        <v>136316</v>
      </c>
      <c r="R16">
        <f t="shared" si="0"/>
        <v>136316</v>
      </c>
    </row>
    <row r="17" spans="1:18" x14ac:dyDescent="0.2">
      <c r="A17" s="2" t="s">
        <v>22</v>
      </c>
      <c r="B17">
        <f>SUM(B4:B8)</f>
        <v>21419812</v>
      </c>
      <c r="C17">
        <f t="shared" ref="C17:R17" si="1">SUM(C4:C8)</f>
        <v>20812030</v>
      </c>
      <c r="D17">
        <f t="shared" si="1"/>
        <v>20741187</v>
      </c>
      <c r="E17">
        <f t="shared" si="1"/>
        <v>18733945</v>
      </c>
      <c r="F17">
        <f t="shared" si="1"/>
        <v>18847702</v>
      </c>
      <c r="G17">
        <f t="shared" si="1"/>
        <v>18648170</v>
      </c>
      <c r="H17">
        <f t="shared" si="1"/>
        <v>18458360</v>
      </c>
      <c r="I17">
        <f t="shared" si="1"/>
        <v>17999565</v>
      </c>
      <c r="K17">
        <f t="shared" si="1"/>
        <v>134528</v>
      </c>
      <c r="L17">
        <f t="shared" si="1"/>
        <v>134321</v>
      </c>
      <c r="M17">
        <f t="shared" si="1"/>
        <v>134321</v>
      </c>
      <c r="N17">
        <f t="shared" si="1"/>
        <v>132252</v>
      </c>
      <c r="O17">
        <f t="shared" si="1"/>
        <v>132405</v>
      </c>
      <c r="P17">
        <f t="shared" si="1"/>
        <v>131639</v>
      </c>
      <c r="Q17">
        <f t="shared" si="1"/>
        <v>130471</v>
      </c>
      <c r="R17">
        <f t="shared" si="1"/>
        <v>129598</v>
      </c>
    </row>
    <row r="18" spans="1:18" x14ac:dyDescent="0.2">
      <c r="A18" t="s">
        <v>23</v>
      </c>
      <c r="B18">
        <f>SUM(B9:B11,B15)</f>
        <v>2004137</v>
      </c>
      <c r="C18">
        <f t="shared" ref="C18:R18" si="2">SUM(C9:C11,C15)</f>
        <v>2576103</v>
      </c>
      <c r="D18">
        <f t="shared" si="2"/>
        <v>2647426</v>
      </c>
      <c r="E18">
        <f t="shared" si="2"/>
        <v>4655025</v>
      </c>
      <c r="F18">
        <f t="shared" si="2"/>
        <v>4546808</v>
      </c>
      <c r="G18">
        <f t="shared" si="2"/>
        <v>4761733</v>
      </c>
      <c r="H18">
        <f t="shared" si="2"/>
        <v>4940348</v>
      </c>
      <c r="I18">
        <f t="shared" si="2"/>
        <v>5398318</v>
      </c>
      <c r="K18">
        <f t="shared" si="2"/>
        <v>337</v>
      </c>
      <c r="L18">
        <f t="shared" si="2"/>
        <v>1210</v>
      </c>
      <c r="M18">
        <f t="shared" si="2"/>
        <v>1210</v>
      </c>
      <c r="N18">
        <f t="shared" si="2"/>
        <v>3383</v>
      </c>
      <c r="O18">
        <f t="shared" si="2"/>
        <v>3339</v>
      </c>
      <c r="P18">
        <f t="shared" si="2"/>
        <v>4243</v>
      </c>
      <c r="Q18">
        <f t="shared" si="2"/>
        <v>5427</v>
      </c>
      <c r="R18">
        <f t="shared" si="2"/>
        <v>6280</v>
      </c>
    </row>
    <row r="19" spans="1:18" x14ac:dyDescent="0.2">
      <c r="A19" t="s">
        <v>24</v>
      </c>
      <c r="B19">
        <f>(B17/B16)*100</f>
        <v>89.702866488214184</v>
      </c>
      <c r="C19">
        <f t="shared" ref="C19:R19" si="3">(C17/C16)*100</f>
        <v>87.157569283927813</v>
      </c>
      <c r="D19">
        <f t="shared" si="3"/>
        <v>86.860889734610353</v>
      </c>
      <c r="E19">
        <f t="shared" si="3"/>
        <v>78.454870058268838</v>
      </c>
      <c r="F19">
        <f t="shared" si="3"/>
        <v>78.931266815770726</v>
      </c>
      <c r="G19">
        <f t="shared" si="3"/>
        <v>78.095657597719409</v>
      </c>
      <c r="H19">
        <f t="shared" si="3"/>
        <v>77.300762615068379</v>
      </c>
      <c r="I19">
        <f t="shared" si="3"/>
        <v>75.379399970500813</v>
      </c>
      <c r="K19">
        <f t="shared" si="3"/>
        <v>99.017392520406588</v>
      </c>
      <c r="L19">
        <f t="shared" si="3"/>
        <v>98.536488746735529</v>
      </c>
      <c r="M19">
        <f t="shared" si="3"/>
        <v>98.536488746735529</v>
      </c>
      <c r="N19">
        <f t="shared" si="3"/>
        <v>97.018691863024159</v>
      </c>
      <c r="O19">
        <f t="shared" si="3"/>
        <v>97.130931071921125</v>
      </c>
      <c r="P19">
        <f t="shared" si="3"/>
        <v>96.569001437835624</v>
      </c>
      <c r="Q19">
        <f t="shared" si="3"/>
        <v>95.712168784295315</v>
      </c>
      <c r="R19">
        <f t="shared" si="3"/>
        <v>95.071745062941986</v>
      </c>
    </row>
    <row r="20" spans="1:18" x14ac:dyDescent="0.2">
      <c r="A20" t="s">
        <v>25</v>
      </c>
      <c r="B20">
        <f>(B18/B16)*100</f>
        <v>8.3930164156011315</v>
      </c>
      <c r="C20">
        <f t="shared" ref="C20:R20" si="4">(C18/C16)*100</f>
        <v>10.788321740120223</v>
      </c>
      <c r="D20">
        <f t="shared" si="4"/>
        <v>11.087011455349231</v>
      </c>
      <c r="E20">
        <f t="shared" si="4"/>
        <v>19.494526192587465</v>
      </c>
      <c r="F20">
        <f t="shared" si="4"/>
        <v>19.041330099981465</v>
      </c>
      <c r="G20">
        <f t="shared" si="4"/>
        <v>19.941402826109005</v>
      </c>
      <c r="H20">
        <f t="shared" si="4"/>
        <v>20.689414876718619</v>
      </c>
      <c r="I20">
        <f t="shared" si="4"/>
        <v>22.607322548625707</v>
      </c>
      <c r="K20">
        <f t="shared" si="4"/>
        <v>0.24804398548537865</v>
      </c>
      <c r="L20">
        <f t="shared" si="4"/>
        <v>0.88764341676692382</v>
      </c>
      <c r="M20">
        <f t="shared" si="4"/>
        <v>0.88764341676692382</v>
      </c>
      <c r="N20">
        <f t="shared" si="4"/>
        <v>2.4817336189442178</v>
      </c>
      <c r="O20">
        <f t="shared" si="4"/>
        <v>2.44945567651633</v>
      </c>
      <c r="P20">
        <f t="shared" si="4"/>
        <v>3.1126206754893042</v>
      </c>
      <c r="Q20">
        <f t="shared" si="4"/>
        <v>3.9811907626397489</v>
      </c>
      <c r="R20">
        <f t="shared" si="4"/>
        <v>4.6069426919803984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C947F-0D9E-4AA6-9EDF-7D5887212A4C}">
  <dimension ref="A1:R20"/>
  <sheetViews>
    <sheetView workbookViewId="0">
      <selection sqref="A1:A20"/>
    </sheetView>
  </sheetViews>
  <sheetFormatPr baseColWidth="10" defaultColWidth="8.83203125" defaultRowHeight="15" x14ac:dyDescent="0.2"/>
  <cols>
    <col min="1" max="1" width="28.1640625" customWidth="1"/>
    <col min="2" max="2" width="9.1640625" bestFit="1" customWidth="1"/>
  </cols>
  <sheetData>
    <row r="1" spans="1:18" x14ac:dyDescent="0.2">
      <c r="A1" t="s">
        <v>18</v>
      </c>
      <c r="B1" t="s">
        <v>9</v>
      </c>
      <c r="C1" t="s">
        <v>9</v>
      </c>
      <c r="D1" t="s">
        <v>9</v>
      </c>
      <c r="E1" t="s">
        <v>9</v>
      </c>
      <c r="F1" t="s">
        <v>9</v>
      </c>
      <c r="G1" t="s">
        <v>9</v>
      </c>
      <c r="H1" t="s">
        <v>9</v>
      </c>
      <c r="I1" t="s">
        <v>9</v>
      </c>
      <c r="K1" t="s">
        <v>9</v>
      </c>
      <c r="L1" t="s">
        <v>9</v>
      </c>
      <c r="M1" t="s">
        <v>9</v>
      </c>
      <c r="N1" t="s">
        <v>9</v>
      </c>
      <c r="O1" t="s">
        <v>9</v>
      </c>
      <c r="P1" t="s">
        <v>9</v>
      </c>
      <c r="Q1" t="s">
        <v>9</v>
      </c>
      <c r="R1" t="s">
        <v>9</v>
      </c>
    </row>
    <row r="2" spans="1:18" x14ac:dyDescent="0.2">
      <c r="A2" t="s">
        <v>17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K2" s="1" t="s">
        <v>1</v>
      </c>
      <c r="L2" s="1" t="s">
        <v>1</v>
      </c>
      <c r="M2" s="1" t="s">
        <v>1</v>
      </c>
      <c r="N2" s="1" t="s">
        <v>1</v>
      </c>
      <c r="O2" s="1" t="s">
        <v>1</v>
      </c>
      <c r="P2" s="1" t="s">
        <v>1</v>
      </c>
      <c r="Q2" s="1" t="s">
        <v>1</v>
      </c>
      <c r="R2" s="1" t="s">
        <v>1</v>
      </c>
    </row>
    <row r="3" spans="1:18" x14ac:dyDescent="0.2">
      <c r="A3" s="2" t="s">
        <v>10</v>
      </c>
      <c r="B3">
        <v>1985</v>
      </c>
      <c r="C3">
        <v>1990</v>
      </c>
      <c r="D3">
        <v>1995</v>
      </c>
      <c r="E3">
        <v>2000</v>
      </c>
      <c r="F3">
        <v>2005</v>
      </c>
      <c r="G3">
        <v>2010</v>
      </c>
      <c r="H3">
        <v>2015</v>
      </c>
      <c r="I3">
        <v>2020</v>
      </c>
      <c r="K3">
        <v>1985</v>
      </c>
      <c r="L3">
        <v>1990</v>
      </c>
      <c r="M3">
        <v>1995</v>
      </c>
      <c r="N3">
        <v>2000</v>
      </c>
      <c r="O3">
        <v>2005</v>
      </c>
      <c r="P3">
        <v>2010</v>
      </c>
      <c r="Q3">
        <v>2015</v>
      </c>
      <c r="R3">
        <v>2020</v>
      </c>
    </row>
    <row r="4" spans="1:18" x14ac:dyDescent="0.2">
      <c r="A4" s="2" t="s">
        <v>11</v>
      </c>
      <c r="B4">
        <v>22990658</v>
      </c>
      <c r="C4">
        <v>22599812</v>
      </c>
      <c r="D4">
        <v>22481572</v>
      </c>
      <c r="E4">
        <v>20647649</v>
      </c>
      <c r="F4">
        <v>20718785</v>
      </c>
      <c r="G4">
        <v>20460264</v>
      </c>
      <c r="H4">
        <v>20229266</v>
      </c>
      <c r="I4">
        <v>19869435</v>
      </c>
      <c r="K4">
        <v>299118</v>
      </c>
      <c r="L4">
        <v>299789</v>
      </c>
      <c r="M4">
        <v>299771</v>
      </c>
      <c r="N4">
        <v>296319</v>
      </c>
      <c r="O4">
        <v>295674</v>
      </c>
      <c r="P4">
        <v>293604</v>
      </c>
      <c r="Q4">
        <v>294237</v>
      </c>
      <c r="R4">
        <v>292627</v>
      </c>
    </row>
    <row r="5" spans="1:18" x14ac:dyDescent="0.2">
      <c r="A5" s="2" t="s">
        <v>12</v>
      </c>
      <c r="B5">
        <v>1383830</v>
      </c>
      <c r="C5">
        <v>1325216</v>
      </c>
      <c r="D5">
        <v>1378879</v>
      </c>
      <c r="E5">
        <v>1436826</v>
      </c>
      <c r="F5">
        <v>1447695</v>
      </c>
      <c r="G5">
        <v>1471247</v>
      </c>
      <c r="H5">
        <v>1568130</v>
      </c>
      <c r="I5">
        <v>1559015</v>
      </c>
      <c r="K5">
        <v>76</v>
      </c>
      <c r="N5">
        <v>6</v>
      </c>
      <c r="O5">
        <v>17</v>
      </c>
      <c r="P5">
        <v>27</v>
      </c>
      <c r="Q5">
        <v>6</v>
      </c>
      <c r="R5">
        <v>36</v>
      </c>
    </row>
    <row r="6" spans="1:18" x14ac:dyDescent="0.2">
      <c r="A6" s="2" t="s">
        <v>2</v>
      </c>
      <c r="B6">
        <v>7837</v>
      </c>
      <c r="C6">
        <v>7290</v>
      </c>
      <c r="D6">
        <v>11302</v>
      </c>
      <c r="E6">
        <v>11359</v>
      </c>
      <c r="F6">
        <v>11616</v>
      </c>
      <c r="G6">
        <v>12627</v>
      </c>
      <c r="H6">
        <v>9785</v>
      </c>
      <c r="I6">
        <v>11155</v>
      </c>
    </row>
    <row r="7" spans="1:18" x14ac:dyDescent="0.2">
      <c r="A7" s="2" t="s">
        <v>3</v>
      </c>
    </row>
    <row r="8" spans="1:18" x14ac:dyDescent="0.2">
      <c r="A8" s="2" t="s">
        <v>13</v>
      </c>
    </row>
    <row r="9" spans="1:18" x14ac:dyDescent="0.2">
      <c r="A9" s="2" t="s">
        <v>4</v>
      </c>
      <c r="B9">
        <v>1338787</v>
      </c>
      <c r="C9">
        <v>1765053</v>
      </c>
      <c r="D9">
        <v>1817046</v>
      </c>
      <c r="E9">
        <v>3800658</v>
      </c>
      <c r="F9">
        <v>3725083</v>
      </c>
      <c r="G9">
        <v>3958585</v>
      </c>
      <c r="H9">
        <v>4066383</v>
      </c>
      <c r="I9">
        <v>4391874</v>
      </c>
      <c r="K9">
        <v>379</v>
      </c>
      <c r="L9">
        <v>617</v>
      </c>
      <c r="M9">
        <v>626</v>
      </c>
      <c r="N9">
        <v>4021</v>
      </c>
      <c r="O9">
        <v>4715</v>
      </c>
      <c r="P9">
        <v>6757</v>
      </c>
      <c r="Q9">
        <v>6178</v>
      </c>
      <c r="R9">
        <v>7731</v>
      </c>
    </row>
    <row r="10" spans="1:18" x14ac:dyDescent="0.2">
      <c r="A10" s="2" t="s">
        <v>19</v>
      </c>
      <c r="B10">
        <v>44239</v>
      </c>
      <c r="C10">
        <v>58425</v>
      </c>
      <c r="D10">
        <v>60154</v>
      </c>
      <c r="E10">
        <v>70245</v>
      </c>
      <c r="F10">
        <v>88347</v>
      </c>
      <c r="G10">
        <v>111528</v>
      </c>
      <c r="H10">
        <v>124554</v>
      </c>
      <c r="I10">
        <v>143552</v>
      </c>
      <c r="K10">
        <v>12</v>
      </c>
      <c r="L10">
        <v>46</v>
      </c>
      <c r="M10">
        <v>58</v>
      </c>
      <c r="N10">
        <v>37</v>
      </c>
      <c r="O10">
        <v>29</v>
      </c>
      <c r="P10">
        <v>30</v>
      </c>
      <c r="Q10">
        <v>32</v>
      </c>
      <c r="R10">
        <v>69</v>
      </c>
    </row>
    <row r="11" spans="1:18" x14ac:dyDescent="0.2">
      <c r="A11" s="2" t="s">
        <v>20</v>
      </c>
      <c r="B11">
        <v>241492</v>
      </c>
      <c r="C11">
        <v>273081</v>
      </c>
      <c r="D11">
        <v>280846</v>
      </c>
      <c r="E11">
        <v>65804</v>
      </c>
      <c r="F11">
        <v>43322</v>
      </c>
      <c r="G11">
        <v>35340</v>
      </c>
      <c r="H11">
        <v>41543</v>
      </c>
      <c r="I11">
        <v>62134</v>
      </c>
      <c r="K11">
        <v>87</v>
      </c>
      <c r="L11">
        <v>49</v>
      </c>
      <c r="M11">
        <v>49</v>
      </c>
      <c r="N11">
        <v>50</v>
      </c>
    </row>
    <row r="12" spans="1:18" x14ac:dyDescent="0.2">
      <c r="A12" s="2" t="s">
        <v>21</v>
      </c>
      <c r="B12">
        <v>102</v>
      </c>
      <c r="C12">
        <v>105</v>
      </c>
      <c r="D12">
        <v>113</v>
      </c>
      <c r="E12">
        <v>92</v>
      </c>
      <c r="F12">
        <v>113</v>
      </c>
      <c r="G12">
        <v>142</v>
      </c>
      <c r="H12">
        <v>133</v>
      </c>
      <c r="I12">
        <v>149</v>
      </c>
      <c r="O12">
        <v>5</v>
      </c>
      <c r="P12">
        <v>78</v>
      </c>
    </row>
    <row r="13" spans="1:18" x14ac:dyDescent="0.2">
      <c r="A13" s="2" t="s">
        <v>5</v>
      </c>
      <c r="B13">
        <v>498882</v>
      </c>
      <c r="C13">
        <v>534688</v>
      </c>
      <c r="D13">
        <v>533758</v>
      </c>
      <c r="E13">
        <v>530991</v>
      </c>
      <c r="F13">
        <v>528578</v>
      </c>
      <c r="G13">
        <v>513818</v>
      </c>
      <c r="H13">
        <v>523569</v>
      </c>
      <c r="I13">
        <v>525673</v>
      </c>
      <c r="K13">
        <v>121</v>
      </c>
      <c r="L13">
        <v>191</v>
      </c>
      <c r="M13">
        <v>188</v>
      </c>
      <c r="N13">
        <v>259</v>
      </c>
      <c r="O13">
        <v>252</v>
      </c>
      <c r="P13">
        <v>196</v>
      </c>
      <c r="Q13">
        <v>239</v>
      </c>
      <c r="R13">
        <v>229</v>
      </c>
    </row>
    <row r="14" spans="1:18" x14ac:dyDescent="0.2">
      <c r="A14" s="2" t="s">
        <v>8</v>
      </c>
    </row>
    <row r="15" spans="1:18" x14ac:dyDescent="0.2">
      <c r="A15" s="2" t="s">
        <v>6</v>
      </c>
      <c r="E15">
        <v>46</v>
      </c>
      <c r="F15">
        <v>131</v>
      </c>
      <c r="G15">
        <v>119</v>
      </c>
      <c r="H15">
        <v>307</v>
      </c>
      <c r="I15">
        <v>683</v>
      </c>
    </row>
    <row r="16" spans="1:18" x14ac:dyDescent="0.2">
      <c r="A16" s="2" t="s">
        <v>7</v>
      </c>
      <c r="B16">
        <f>SUM(B4:B15)</f>
        <v>26505827</v>
      </c>
      <c r="C16">
        <f t="shared" ref="C16:R16" si="0">SUM(C4:C15)</f>
        <v>26563670</v>
      </c>
      <c r="D16">
        <f t="shared" si="0"/>
        <v>26563670</v>
      </c>
      <c r="E16">
        <f t="shared" si="0"/>
        <v>26563670</v>
      </c>
      <c r="F16">
        <f t="shared" si="0"/>
        <v>26563670</v>
      </c>
      <c r="G16">
        <f t="shared" si="0"/>
        <v>26563670</v>
      </c>
      <c r="H16">
        <f t="shared" si="0"/>
        <v>26563670</v>
      </c>
      <c r="I16">
        <f t="shared" si="0"/>
        <v>26563670</v>
      </c>
      <c r="K16">
        <f t="shared" si="0"/>
        <v>299793</v>
      </c>
      <c r="L16">
        <f t="shared" si="0"/>
        <v>300692</v>
      </c>
      <c r="M16">
        <f t="shared" si="0"/>
        <v>300692</v>
      </c>
      <c r="N16">
        <f t="shared" si="0"/>
        <v>300692</v>
      </c>
      <c r="O16">
        <f t="shared" si="0"/>
        <v>300692</v>
      </c>
      <c r="P16">
        <f t="shared" si="0"/>
        <v>300692</v>
      </c>
      <c r="Q16">
        <f t="shared" si="0"/>
        <v>300692</v>
      </c>
      <c r="R16">
        <f t="shared" si="0"/>
        <v>300692</v>
      </c>
    </row>
    <row r="17" spans="1:18" x14ac:dyDescent="0.2">
      <c r="A17" s="2" t="s">
        <v>22</v>
      </c>
      <c r="B17">
        <f>SUM(B4:B8)</f>
        <v>24382325</v>
      </c>
      <c r="C17">
        <f t="shared" ref="C17:R17" si="1">SUM(C4:C8)</f>
        <v>23932318</v>
      </c>
      <c r="D17">
        <f t="shared" si="1"/>
        <v>23871753</v>
      </c>
      <c r="E17">
        <f t="shared" si="1"/>
        <v>22095834</v>
      </c>
      <c r="F17">
        <f t="shared" si="1"/>
        <v>22178096</v>
      </c>
      <c r="G17">
        <f t="shared" si="1"/>
        <v>21944138</v>
      </c>
      <c r="H17">
        <f t="shared" si="1"/>
        <v>21807181</v>
      </c>
      <c r="I17">
        <f t="shared" si="1"/>
        <v>21439605</v>
      </c>
      <c r="K17">
        <f t="shared" si="1"/>
        <v>299194</v>
      </c>
      <c r="L17">
        <f t="shared" si="1"/>
        <v>299789</v>
      </c>
      <c r="M17">
        <f t="shared" si="1"/>
        <v>299771</v>
      </c>
      <c r="N17">
        <f t="shared" si="1"/>
        <v>296325</v>
      </c>
      <c r="O17">
        <f t="shared" si="1"/>
        <v>295691</v>
      </c>
      <c r="P17">
        <f t="shared" si="1"/>
        <v>293631</v>
      </c>
      <c r="Q17">
        <f t="shared" si="1"/>
        <v>294243</v>
      </c>
      <c r="R17">
        <f t="shared" si="1"/>
        <v>292663</v>
      </c>
    </row>
    <row r="18" spans="1:18" x14ac:dyDescent="0.2">
      <c r="A18" t="s">
        <v>23</v>
      </c>
      <c r="B18">
        <f>SUM(B9:B11,B15)</f>
        <v>1624518</v>
      </c>
      <c r="C18">
        <f t="shared" ref="C18:R18" si="2">SUM(C9:C11,C15)</f>
        <v>2096559</v>
      </c>
      <c r="D18">
        <f t="shared" si="2"/>
        <v>2158046</v>
      </c>
      <c r="E18">
        <f t="shared" si="2"/>
        <v>3936753</v>
      </c>
      <c r="F18">
        <f t="shared" si="2"/>
        <v>3856883</v>
      </c>
      <c r="G18">
        <f t="shared" si="2"/>
        <v>4105572</v>
      </c>
      <c r="H18">
        <f t="shared" si="2"/>
        <v>4232787</v>
      </c>
      <c r="I18">
        <f t="shared" si="2"/>
        <v>4598243</v>
      </c>
      <c r="K18">
        <f t="shared" si="2"/>
        <v>478</v>
      </c>
      <c r="L18">
        <f t="shared" si="2"/>
        <v>712</v>
      </c>
      <c r="M18">
        <f t="shared" si="2"/>
        <v>733</v>
      </c>
      <c r="N18">
        <f t="shared" si="2"/>
        <v>4108</v>
      </c>
      <c r="O18">
        <f t="shared" si="2"/>
        <v>4744</v>
      </c>
      <c r="P18">
        <f t="shared" si="2"/>
        <v>6787</v>
      </c>
      <c r="Q18">
        <f t="shared" si="2"/>
        <v>6210</v>
      </c>
      <c r="R18">
        <f t="shared" si="2"/>
        <v>7800</v>
      </c>
    </row>
    <row r="19" spans="1:18" x14ac:dyDescent="0.2">
      <c r="A19" t="s">
        <v>24</v>
      </c>
      <c r="B19">
        <f>(B17/B16)*100</f>
        <v>91.98854651846932</v>
      </c>
      <c r="C19">
        <f t="shared" ref="C19:R19" si="3">(C17/C16)*100</f>
        <v>90.094169969736853</v>
      </c>
      <c r="D19">
        <f t="shared" si="3"/>
        <v>89.866170600673783</v>
      </c>
      <c r="E19">
        <f t="shared" si="3"/>
        <v>83.180652372206097</v>
      </c>
      <c r="F19">
        <f t="shared" si="3"/>
        <v>83.490330967068942</v>
      </c>
      <c r="G19">
        <f t="shared" si="3"/>
        <v>82.609586702439842</v>
      </c>
      <c r="H19">
        <f t="shared" si="3"/>
        <v>82.094006588698022</v>
      </c>
      <c r="I19">
        <f t="shared" si="3"/>
        <v>80.710252009605597</v>
      </c>
      <c r="K19">
        <f t="shared" si="3"/>
        <v>99.800195468206397</v>
      </c>
      <c r="L19">
        <f t="shared" si="3"/>
        <v>99.699692708818318</v>
      </c>
      <c r="M19">
        <f t="shared" si="3"/>
        <v>99.693706516967524</v>
      </c>
      <c r="N19">
        <f t="shared" si="3"/>
        <v>98.547683343753746</v>
      </c>
      <c r="O19">
        <f t="shared" si="3"/>
        <v>98.336836364120089</v>
      </c>
      <c r="P19">
        <f t="shared" si="3"/>
        <v>97.651749963417714</v>
      </c>
      <c r="Q19">
        <f t="shared" si="3"/>
        <v>97.855280486344824</v>
      </c>
      <c r="R19">
        <f t="shared" si="3"/>
        <v>97.329825868330389</v>
      </c>
    </row>
    <row r="20" spans="1:18" x14ac:dyDescent="0.2">
      <c r="A20" t="s">
        <v>25</v>
      </c>
      <c r="B20">
        <f>(B18/B16)*100</f>
        <v>6.1289089376460506</v>
      </c>
      <c r="C20">
        <f t="shared" ref="C20:R20" si="4">(C18/C16)*100</f>
        <v>7.8925803550488309</v>
      </c>
      <c r="D20">
        <f t="shared" si="4"/>
        <v>8.124050630052249</v>
      </c>
      <c r="E20">
        <f t="shared" si="4"/>
        <v>14.82006439622236</v>
      </c>
      <c r="F20">
        <f t="shared" si="4"/>
        <v>14.519390581196049</v>
      </c>
      <c r="G20">
        <f t="shared" si="4"/>
        <v>15.45559028552907</v>
      </c>
      <c r="H20">
        <f t="shared" si="4"/>
        <v>15.934496249953414</v>
      </c>
      <c r="I20">
        <f t="shared" si="4"/>
        <v>17.310270004107114</v>
      </c>
      <c r="K20">
        <f t="shared" si="4"/>
        <v>0.15944334924431192</v>
      </c>
      <c r="L20">
        <f t="shared" si="4"/>
        <v>0.23678714432043418</v>
      </c>
      <c r="M20">
        <f t="shared" si="4"/>
        <v>0.24377103481303128</v>
      </c>
      <c r="N20">
        <f t="shared" si="4"/>
        <v>1.3661820068375614</v>
      </c>
      <c r="O20">
        <f t="shared" si="4"/>
        <v>1.577694118899073</v>
      </c>
      <c r="P20">
        <f t="shared" si="4"/>
        <v>2.2571268939645885</v>
      </c>
      <c r="Q20">
        <f t="shared" si="4"/>
        <v>2.0652361885251351</v>
      </c>
      <c r="R20">
        <f t="shared" si="4"/>
        <v>2.5940164686789142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8c727c9-ff83-4625-be2f-7c881076bf62">
      <Terms xmlns="http://schemas.microsoft.com/office/infopath/2007/PartnerControls"/>
    </lcf76f155ced4ddcb4097134ff3c332f>
    <TaxCatchAll xmlns="2824c5e6-75b9-4dd9-bc67-e55a4c26644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8ABED680D8A44E86C595BDEED85021" ma:contentTypeVersion="15" ma:contentTypeDescription="Create a new document." ma:contentTypeScope="" ma:versionID="df099e573e1ad22b40bff21980319bbf">
  <xsd:schema xmlns:xsd="http://www.w3.org/2001/XMLSchema" xmlns:xs="http://www.w3.org/2001/XMLSchema" xmlns:p="http://schemas.microsoft.com/office/2006/metadata/properties" xmlns:ns2="18c727c9-ff83-4625-be2f-7c881076bf62" xmlns:ns3="2824c5e6-75b9-4dd9-bc67-e55a4c26644b" targetNamespace="http://schemas.microsoft.com/office/2006/metadata/properties" ma:root="true" ma:fieldsID="891417425d2641725aac34ce82f71249" ns2:_="" ns3:_="">
    <xsd:import namespace="18c727c9-ff83-4625-be2f-7c881076bf62"/>
    <xsd:import namespace="2824c5e6-75b9-4dd9-bc67-e55a4c2664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c727c9-ff83-4625-be2f-7c881076bf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24c5e6-75b9-4dd9-bc67-e55a4c26644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b1c8a83-cf3d-40a3-93ad-75868b7965c2}" ma:internalName="TaxCatchAll" ma:showField="CatchAllData" ma:web="2824c5e6-75b9-4dd9-bc67-e55a4c2664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001391-0AC2-46DD-8CAB-00C7FA640A65}">
  <ds:schemaRefs>
    <ds:schemaRef ds:uri="http://schemas.microsoft.com/office/2006/metadata/properties"/>
    <ds:schemaRef ds:uri="http://schemas.microsoft.com/office/infopath/2007/PartnerControls"/>
    <ds:schemaRef ds:uri="18c727c9-ff83-4625-be2f-7c881076bf62"/>
    <ds:schemaRef ds:uri="2824c5e6-75b9-4dd9-bc67-e55a4c26644b"/>
  </ds:schemaRefs>
</ds:datastoreItem>
</file>

<file path=customXml/itemProps2.xml><?xml version="1.0" encoding="utf-8"?>
<ds:datastoreItem xmlns:ds="http://schemas.openxmlformats.org/officeDocument/2006/customXml" ds:itemID="{42AE8BD7-4B2C-497F-A061-0EF8003022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938464-710A-421E-BF00-EBC9821954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c727c9-ff83-4625-be2f-7c881076bf62"/>
    <ds:schemaRef ds:uri="2824c5e6-75b9-4dd9-bc67-e55a4c2664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Sinangoe</vt:lpstr>
      <vt:lpstr>Zabalo</vt:lpstr>
      <vt:lpstr>Siona</vt:lpstr>
      <vt:lpstr>Siekopai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</dc:creator>
  <cp:keywords/>
  <dc:description/>
  <cp:lastModifiedBy>Manning, Morgan M.</cp:lastModifiedBy>
  <cp:revision/>
  <dcterms:created xsi:type="dcterms:W3CDTF">2023-03-28T15:09:02Z</dcterms:created>
  <dcterms:modified xsi:type="dcterms:W3CDTF">2024-04-03T19:32:29Z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0x0101005B8ABED680D8A44E86C595BDEED85021</vt:lpwstr>
  </property>
  <property fmtid="{D5CDD505-2E9C-101B-9397-08002B2CF9AE}" pid="3" name="MediaServiceImageTags">
    <vt:lpwstr/>
  </property>
</Properties>
</file>